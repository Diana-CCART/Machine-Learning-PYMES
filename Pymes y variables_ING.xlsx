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lag\Dropbox\Mis documentos\CURSOS 2S 2024\UNAM\LicCD_IIMAS\"/>
    </mc:Choice>
  </mc:AlternateContent>
  <xr:revisionPtr revIDLastSave="0" documentId="13_ncr:1_{DC44853E-DCBB-45FF-A75E-2501554BD861}" xr6:coauthVersionLast="47" xr6:coauthVersionMax="47" xr10:uidLastSave="{00000000-0000-0000-0000-000000000000}"/>
  <bookViews>
    <workbookView xWindow="-108" yWindow="-108" windowWidth="23256" windowHeight="12456" xr2:uid="{64A8EC8C-4EA4-487F-B51D-811B1B4796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3" i="1"/>
  <c r="H24" i="1"/>
  <c r="H25" i="1"/>
  <c r="H26" i="1"/>
  <c r="H27" i="1"/>
  <c r="H28" i="1"/>
  <c r="H40" i="1"/>
  <c r="H41" i="1"/>
  <c r="H42" i="1"/>
  <c r="H43" i="1"/>
  <c r="H44" i="1"/>
  <c r="H45" i="1"/>
  <c r="H46" i="1"/>
  <c r="H47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21" i="1"/>
</calcChain>
</file>

<file path=xl/sharedStrings.xml><?xml version="1.0" encoding="utf-8"?>
<sst xmlns="http://schemas.openxmlformats.org/spreadsheetml/2006/main" count="119" uniqueCount="38">
  <si>
    <t>Año</t>
  </si>
  <si>
    <t>Sector</t>
  </si>
  <si>
    <t>Sector 11</t>
  </si>
  <si>
    <t>Sector 21</t>
  </si>
  <si>
    <t>Sector 22</t>
  </si>
  <si>
    <t>Sector 23</t>
  </si>
  <si>
    <t>Sector 31 - 33</t>
  </si>
  <si>
    <t>Sector 43</t>
  </si>
  <si>
    <t>Sector 46</t>
  </si>
  <si>
    <t>Sector 51</t>
  </si>
  <si>
    <t>Sector 52</t>
  </si>
  <si>
    <t>Sector 53</t>
  </si>
  <si>
    <t>Sector 54</t>
  </si>
  <si>
    <t>Sector 55</t>
  </si>
  <si>
    <t>Sector 56</t>
  </si>
  <si>
    <t>Sector 61</t>
  </si>
  <si>
    <t>Sector 62</t>
  </si>
  <si>
    <t>Sector 71</t>
  </si>
  <si>
    <t>Sector 72</t>
  </si>
  <si>
    <t>Sector 81</t>
  </si>
  <si>
    <t>Sector 48 - 49</t>
  </si>
  <si>
    <t>Incremento en 5 años</t>
  </si>
  <si>
    <t>N/E</t>
  </si>
  <si>
    <t>INPP del año (Dic) Base 2018</t>
  </si>
  <si>
    <t>Inflación del año</t>
  </si>
  <si>
    <t>Incremento 5 años</t>
  </si>
  <si>
    <t>Tipo de cambio</t>
  </si>
  <si>
    <t>PIB (Año base 2018)</t>
  </si>
  <si>
    <t>IPC</t>
  </si>
  <si>
    <t>CPP</t>
  </si>
  <si>
    <t>CCP</t>
  </si>
  <si>
    <t>Conianza del consumidor</t>
  </si>
  <si>
    <t>INPC (sector)</t>
  </si>
  <si>
    <t>Variacion 5 años</t>
  </si>
  <si>
    <t>Y =Numero de pymes</t>
  </si>
  <si>
    <t>Y= Total de remuneraciones</t>
  </si>
  <si>
    <t>Y= Producción bruta total</t>
  </si>
  <si>
    <t>Y =Consumo intermedio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</si>
</sst>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164" fontId="0" fillId="0" borderId="0" xfId="1" applyNumberFormat="1" applyFont="1"/>
    <xf numFmtId="164" fontId="0" fillId="0" borderId="1" xfId="1" applyNumberFormat="1" applyFont="1" applyBorder="1"/>
    <xf numFmtId="0" fontId="0" fillId="0" borderId="2" xfId="0" applyBorder="1"/>
    <xf numFmtId="2" fontId="0" fillId="0" borderId="0" xfId="0" applyNumberFormat="1"/>
    <xf numFmtId="2" fontId="0" fillId="0" borderId="1" xfId="0" applyNumberFormat="1" applyBorder="1"/>
    <xf numFmtId="9" fontId="0" fillId="0" borderId="0" xfId="2" applyFont="1"/>
    <xf numFmtId="0" fontId="0" fillId="2" borderId="2" xfId="0" applyFill="1" applyBorder="1"/>
    <xf numFmtId="0" fontId="2" fillId="2" borderId="2" xfId="0" applyFont="1" applyFill="1" applyBorder="1"/>
    <xf numFmtId="0" fontId="0" fillId="2" borderId="0" xfId="0" applyFill="1"/>
    <xf numFmtId="164" fontId="0" fillId="2" borderId="0" xfId="1" applyNumberFormat="1" applyFont="1" applyFill="1"/>
    <xf numFmtId="0" fontId="0" fillId="2" borderId="1" xfId="0" applyFill="1" applyBorder="1"/>
    <xf numFmtId="164" fontId="0" fillId="2" borderId="1" xfId="1" applyNumberFormat="1" applyFont="1" applyFill="1" applyBorder="1"/>
    <xf numFmtId="0" fontId="0" fillId="3" borderId="2" xfId="0" applyFill="1" applyBorder="1"/>
    <xf numFmtId="10" fontId="0" fillId="3" borderId="0" xfId="0" applyNumberFormat="1" applyFill="1"/>
    <xf numFmtId="0" fontId="0" fillId="3" borderId="0" xfId="0" applyFill="1"/>
    <xf numFmtId="10" fontId="0" fillId="3" borderId="0" xfId="2" applyNumberFormat="1" applyFont="1" applyFill="1"/>
    <xf numFmtId="2" fontId="0" fillId="3" borderId="0" xfId="0" applyNumberFormat="1" applyFill="1"/>
    <xf numFmtId="2" fontId="0" fillId="3" borderId="1" xfId="0" applyNumberFormat="1" applyFill="1" applyBorder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6A77D-7731-4610-B781-14CAF5B7215A}">
  <dimension ref="A1:U77"/>
  <sheetViews>
    <sheetView tabSelected="1" zoomScaleNormal="100" workbookViewId="0">
      <pane ySplit="4332" topLeftCell="A71"/>
      <selection activeCell="E1" sqref="E1:E1048576"/>
      <selection pane="bottomLeft" activeCell="E82" sqref="E82"/>
    </sheetView>
  </sheetViews>
  <sheetFormatPr baseColWidth="10" defaultRowHeight="14.4" x14ac:dyDescent="0.3"/>
  <cols>
    <col min="2" max="2" width="11.77734375" style="10" bestFit="1" customWidth="1"/>
    <col min="3" max="3" width="20.5546875" style="10" customWidth="1"/>
    <col min="4" max="4" width="20.77734375" bestFit="1" customWidth="1"/>
    <col min="5" max="5" width="18.77734375" bestFit="1" customWidth="1"/>
    <col min="6" max="6" width="17.77734375" bestFit="1" customWidth="1"/>
    <col min="8" max="8" width="18.21875" bestFit="1" customWidth="1"/>
    <col min="9" max="9" width="13.88671875" style="16" bestFit="1" customWidth="1"/>
    <col min="10" max="10" width="15.77734375" style="16" bestFit="1" customWidth="1"/>
    <col min="11" max="11" width="12.88671875" style="16" bestFit="1" customWidth="1"/>
    <col min="12" max="12" width="15.77734375" style="16" bestFit="1" customWidth="1"/>
    <col min="13" max="13" width="16.88671875" style="16" bestFit="1" customWidth="1"/>
    <col min="14" max="14" width="15.77734375" style="16" bestFit="1" customWidth="1"/>
    <col min="15" max="15" width="11.77734375" style="16" bestFit="1" customWidth="1"/>
    <col min="16" max="16" width="14.109375" style="16" bestFit="1" customWidth="1"/>
    <col min="17" max="17" width="11.5546875" style="16"/>
    <col min="18" max="18" width="14.109375" style="16" bestFit="1" customWidth="1"/>
    <col min="19" max="20" width="11.5546875" style="16"/>
    <col min="21" max="21" width="21.21875" style="16" bestFit="1" customWidth="1"/>
  </cols>
  <sheetData>
    <row r="1" spans="1:21" s="4" customFormat="1" ht="15" thickBot="1" x14ac:dyDescent="0.35">
      <c r="A1" s="4" t="s">
        <v>0</v>
      </c>
      <c r="B1" s="8" t="s">
        <v>1</v>
      </c>
      <c r="C1" s="9" t="s">
        <v>34</v>
      </c>
      <c r="D1" s="4" t="s">
        <v>35</v>
      </c>
      <c r="E1" s="4" t="s">
        <v>36</v>
      </c>
      <c r="F1" s="4" t="s">
        <v>37</v>
      </c>
      <c r="G1" s="4" t="s">
        <v>23</v>
      </c>
      <c r="H1" s="4" t="s">
        <v>21</v>
      </c>
      <c r="I1" s="14" t="s">
        <v>24</v>
      </c>
      <c r="J1" s="14" t="s">
        <v>25</v>
      </c>
      <c r="K1" s="14" t="s">
        <v>26</v>
      </c>
      <c r="L1" s="14" t="s">
        <v>25</v>
      </c>
      <c r="M1" s="14" t="s">
        <v>27</v>
      </c>
      <c r="N1" s="14" t="s">
        <v>25</v>
      </c>
      <c r="O1" s="14" t="s">
        <v>32</v>
      </c>
      <c r="P1" s="14" t="s">
        <v>33</v>
      </c>
      <c r="Q1" s="14" t="s">
        <v>28</v>
      </c>
      <c r="R1" s="14" t="s">
        <v>33</v>
      </c>
      <c r="S1" s="14" t="s">
        <v>29</v>
      </c>
      <c r="T1" s="14" t="s">
        <v>30</v>
      </c>
      <c r="U1" s="14" t="s">
        <v>31</v>
      </c>
    </row>
    <row r="2" spans="1:21" x14ac:dyDescent="0.3">
      <c r="A2">
        <v>2003</v>
      </c>
      <c r="B2" s="10" t="s">
        <v>2</v>
      </c>
      <c r="C2" s="11">
        <v>21209</v>
      </c>
      <c r="D2" s="2">
        <v>1485080</v>
      </c>
      <c r="E2" s="2">
        <v>12503596</v>
      </c>
      <c r="F2" s="2">
        <v>5448346</v>
      </c>
      <c r="G2" s="5">
        <v>38.159596051318502</v>
      </c>
      <c r="I2" s="15">
        <v>3.9800000000000002E-2</v>
      </c>
      <c r="J2" s="15">
        <v>0.4042</v>
      </c>
      <c r="K2" s="16">
        <v>11.23</v>
      </c>
      <c r="L2" s="17">
        <v>0.12554908859983768</v>
      </c>
      <c r="M2" s="18">
        <v>44.712610351375602</v>
      </c>
      <c r="N2" s="17">
        <v>0.20530910725123475</v>
      </c>
      <c r="O2" s="18">
        <v>44.373965139988101</v>
      </c>
      <c r="P2" s="17">
        <v>0.25946373941038914</v>
      </c>
      <c r="Q2" s="18">
        <v>9428.77</v>
      </c>
      <c r="R2" s="17">
        <v>1.3812069723158049</v>
      </c>
      <c r="S2" s="15">
        <v>5.8400000000000001E-2</v>
      </c>
      <c r="T2" s="15">
        <v>4.36E-2</v>
      </c>
      <c r="U2" s="18">
        <v>39.6</v>
      </c>
    </row>
    <row r="3" spans="1:21" x14ac:dyDescent="0.3">
      <c r="A3">
        <v>2003</v>
      </c>
      <c r="B3" s="10" t="s">
        <v>3</v>
      </c>
      <c r="C3" s="11">
        <v>3001</v>
      </c>
      <c r="D3" s="2">
        <v>2802471</v>
      </c>
      <c r="E3" s="2">
        <v>16423568</v>
      </c>
      <c r="F3" s="2">
        <v>8093980</v>
      </c>
      <c r="G3" s="5">
        <v>32.152159726495356</v>
      </c>
      <c r="I3" s="15">
        <v>3.9800000000000002E-2</v>
      </c>
      <c r="J3" s="15">
        <v>0.4042</v>
      </c>
      <c r="K3" s="16">
        <v>11.23</v>
      </c>
      <c r="L3" s="17">
        <v>0.12554908859983768</v>
      </c>
      <c r="M3" s="18">
        <v>32.025226492820899</v>
      </c>
      <c r="N3" s="17">
        <v>0.46122092090950506</v>
      </c>
      <c r="O3" s="18">
        <v>44.430193219679801</v>
      </c>
      <c r="P3" s="17">
        <v>0.41489345527655996</v>
      </c>
      <c r="Q3" s="18">
        <v>9428.77</v>
      </c>
      <c r="R3" s="17">
        <v>1.3812069723158049</v>
      </c>
      <c r="S3" s="15">
        <v>5.8400000000000001E-2</v>
      </c>
      <c r="T3" s="15">
        <v>4.36E-2</v>
      </c>
      <c r="U3" s="18">
        <v>39.6</v>
      </c>
    </row>
    <row r="4" spans="1:21" x14ac:dyDescent="0.3">
      <c r="A4">
        <v>2003</v>
      </c>
      <c r="B4" s="10" t="s">
        <v>4</v>
      </c>
      <c r="C4" s="11">
        <v>2328</v>
      </c>
      <c r="D4" s="2">
        <v>1924989</v>
      </c>
      <c r="E4" s="2">
        <v>41052205</v>
      </c>
      <c r="F4" s="2">
        <v>21588208</v>
      </c>
      <c r="G4" s="5">
        <v>47.687776842680499</v>
      </c>
      <c r="I4" s="15">
        <v>3.9800000000000002E-2</v>
      </c>
      <c r="J4" s="15">
        <v>0.4042</v>
      </c>
      <c r="K4" s="16">
        <v>11.23</v>
      </c>
      <c r="L4" s="17">
        <v>0.12554908859983768</v>
      </c>
      <c r="M4" s="18">
        <v>68.348043544821905</v>
      </c>
      <c r="N4" s="17">
        <v>0.55092188576395018</v>
      </c>
      <c r="O4" s="18">
        <v>44.444008067565299</v>
      </c>
      <c r="P4" s="17">
        <v>0.56878292564952493</v>
      </c>
      <c r="Q4" s="18">
        <v>9428.77</v>
      </c>
      <c r="R4" s="17">
        <v>1.3812069723158049</v>
      </c>
      <c r="S4" s="15">
        <v>5.8400000000000001E-2</v>
      </c>
      <c r="T4" s="15">
        <v>4.36E-2</v>
      </c>
      <c r="U4" s="18">
        <v>39.6</v>
      </c>
    </row>
    <row r="5" spans="1:21" x14ac:dyDescent="0.3">
      <c r="A5">
        <v>2003</v>
      </c>
      <c r="B5" s="10" t="s">
        <v>5</v>
      </c>
      <c r="C5" s="11">
        <v>13006</v>
      </c>
      <c r="D5" s="2">
        <v>11784729</v>
      </c>
      <c r="E5" s="2">
        <v>110689447</v>
      </c>
      <c r="F5" s="2">
        <v>72899311</v>
      </c>
      <c r="G5" s="5">
        <v>41.825337645683298</v>
      </c>
      <c r="I5" s="15">
        <v>3.9800000000000002E-2</v>
      </c>
      <c r="J5" s="15">
        <v>0.4042</v>
      </c>
      <c r="K5" s="16">
        <v>11.23</v>
      </c>
      <c r="L5" s="17">
        <v>0.12554908859983768</v>
      </c>
      <c r="M5" s="18">
        <v>45.751128568846198</v>
      </c>
      <c r="N5" s="17">
        <v>0.8479091005509396</v>
      </c>
      <c r="O5" s="18">
        <v>55.429810786838097</v>
      </c>
      <c r="P5" s="17">
        <v>0.40424712693014153</v>
      </c>
      <c r="Q5" s="18">
        <v>9428.77</v>
      </c>
      <c r="R5" s="17">
        <v>1.3812069723158049</v>
      </c>
      <c r="S5" s="15">
        <v>5.8400000000000001E-2</v>
      </c>
      <c r="T5" s="15">
        <v>4.36E-2</v>
      </c>
      <c r="U5" s="18">
        <v>39.6</v>
      </c>
    </row>
    <row r="6" spans="1:21" x14ac:dyDescent="0.3">
      <c r="A6">
        <v>2003</v>
      </c>
      <c r="B6" s="10" t="s">
        <v>6</v>
      </c>
      <c r="C6" s="11">
        <v>325667</v>
      </c>
      <c r="D6" s="2">
        <v>88523665</v>
      </c>
      <c r="E6" s="2">
        <v>721352975</v>
      </c>
      <c r="F6" s="2">
        <v>479540757</v>
      </c>
      <c r="G6" s="5">
        <v>44.532683440414999</v>
      </c>
      <c r="I6" s="15">
        <v>3.9800000000000002E-2</v>
      </c>
      <c r="J6" s="15">
        <v>0.4042</v>
      </c>
      <c r="K6" s="16">
        <v>11.23</v>
      </c>
      <c r="L6" s="17">
        <v>0.12554908859983768</v>
      </c>
      <c r="M6" s="18">
        <v>40.571190060613901</v>
      </c>
      <c r="N6" s="17">
        <v>0.32273696102932004</v>
      </c>
      <c r="O6" s="18">
        <v>55.429810786838097</v>
      </c>
      <c r="P6" s="17">
        <v>0.40424712693014153</v>
      </c>
      <c r="Q6" s="18">
        <v>9428.77</v>
      </c>
      <c r="R6" s="17">
        <v>1.3812069723158049</v>
      </c>
      <c r="S6" s="15">
        <v>5.8400000000000001E-2</v>
      </c>
      <c r="T6" s="15">
        <v>4.36E-2</v>
      </c>
      <c r="U6" s="18">
        <v>39.6</v>
      </c>
    </row>
    <row r="7" spans="1:21" x14ac:dyDescent="0.3">
      <c r="A7">
        <v>2003</v>
      </c>
      <c r="B7" s="10" t="s">
        <v>7</v>
      </c>
      <c r="C7" s="11">
        <v>86743</v>
      </c>
      <c r="D7" s="2">
        <v>48466679</v>
      </c>
      <c r="E7" s="2">
        <v>318384618</v>
      </c>
      <c r="F7" s="2">
        <v>96647048</v>
      </c>
      <c r="G7" s="5">
        <v>55.429811000000001</v>
      </c>
      <c r="I7" s="15">
        <v>3.9800000000000002E-2</v>
      </c>
      <c r="J7" s="15">
        <v>0.4042</v>
      </c>
      <c r="K7" s="16">
        <v>11.23</v>
      </c>
      <c r="L7" s="17">
        <v>0.12554908859983768</v>
      </c>
      <c r="M7" s="18">
        <v>44.812962746034003</v>
      </c>
      <c r="N7" s="17">
        <v>0.32151979584385937</v>
      </c>
      <c r="O7" s="18">
        <v>55.180664807122199</v>
      </c>
      <c r="P7" s="17">
        <v>0.32331577856349814</v>
      </c>
      <c r="Q7" s="18">
        <v>9428.77</v>
      </c>
      <c r="R7" s="17">
        <v>1.3812069723158049</v>
      </c>
      <c r="S7" s="15">
        <v>5.8400000000000001E-2</v>
      </c>
      <c r="T7" s="15">
        <v>4.36E-2</v>
      </c>
      <c r="U7" s="18">
        <v>39.6</v>
      </c>
    </row>
    <row r="8" spans="1:21" x14ac:dyDescent="0.3">
      <c r="A8">
        <v>2003</v>
      </c>
      <c r="B8" s="10" t="s">
        <v>8</v>
      </c>
      <c r="C8" s="11">
        <v>1492811</v>
      </c>
      <c r="D8" s="2">
        <v>62721909</v>
      </c>
      <c r="E8" s="2">
        <v>400713681</v>
      </c>
      <c r="F8" s="2">
        <v>112148415</v>
      </c>
      <c r="G8" s="5">
        <v>55.429811000000001</v>
      </c>
      <c r="I8" s="15">
        <v>3.9800000000000002E-2</v>
      </c>
      <c r="J8" s="15">
        <v>0.4042</v>
      </c>
      <c r="K8" s="16">
        <v>11.23</v>
      </c>
      <c r="L8" s="17">
        <v>0.12554908859983768</v>
      </c>
      <c r="M8" s="18">
        <v>43.343198283393697</v>
      </c>
      <c r="N8" s="17">
        <v>0.33884379609717463</v>
      </c>
      <c r="O8" s="18">
        <v>55.180664807122199</v>
      </c>
      <c r="P8" s="17">
        <v>0.32331577856349814</v>
      </c>
      <c r="Q8" s="18">
        <v>9428.77</v>
      </c>
      <c r="R8" s="17">
        <v>1.3812069723158049</v>
      </c>
      <c r="S8" s="15">
        <v>5.8400000000000001E-2</v>
      </c>
      <c r="T8" s="15">
        <v>4.36E-2</v>
      </c>
      <c r="U8" s="18">
        <v>39.6</v>
      </c>
    </row>
    <row r="9" spans="1:21" x14ac:dyDescent="0.3">
      <c r="A9">
        <v>2003</v>
      </c>
      <c r="B9" s="10" t="s">
        <v>20</v>
      </c>
      <c r="C9" s="11">
        <v>41557</v>
      </c>
      <c r="D9" s="2">
        <v>20379867</v>
      </c>
      <c r="E9" s="2">
        <v>151308489</v>
      </c>
      <c r="F9" s="2">
        <v>73026451</v>
      </c>
      <c r="G9" s="5">
        <v>46.305020605625998</v>
      </c>
      <c r="I9" s="15">
        <v>3.9800000000000002E-2</v>
      </c>
      <c r="J9" s="15">
        <v>0.4042</v>
      </c>
      <c r="K9" s="16">
        <v>11.23</v>
      </c>
      <c r="L9" s="17">
        <v>0.12554908859983768</v>
      </c>
      <c r="M9" s="18">
        <v>47.816971499206403</v>
      </c>
      <c r="N9" s="17">
        <v>0.43053991326882479</v>
      </c>
      <c r="O9" s="18">
        <v>42.0069974535892</v>
      </c>
      <c r="P9" s="17">
        <v>0.68088564017278941</v>
      </c>
      <c r="Q9" s="18">
        <v>9428.77</v>
      </c>
      <c r="R9" s="17">
        <v>1.3812069723158049</v>
      </c>
      <c r="S9" s="15">
        <v>5.8400000000000001E-2</v>
      </c>
      <c r="T9" s="15">
        <v>4.36E-2</v>
      </c>
      <c r="U9" s="18">
        <v>39.6</v>
      </c>
    </row>
    <row r="10" spans="1:21" x14ac:dyDescent="0.3">
      <c r="A10">
        <v>2003</v>
      </c>
      <c r="B10" s="10" t="s">
        <v>9</v>
      </c>
      <c r="C10" s="11">
        <v>7462</v>
      </c>
      <c r="D10" s="2">
        <v>5373766</v>
      </c>
      <c r="E10" s="2">
        <v>64334442</v>
      </c>
      <c r="F10" s="2">
        <v>38510960</v>
      </c>
      <c r="G10" s="5" t="s">
        <v>22</v>
      </c>
      <c r="I10" s="15">
        <v>3.9800000000000002E-2</v>
      </c>
      <c r="J10" s="15">
        <v>0.4042</v>
      </c>
      <c r="K10" s="16">
        <v>11.23</v>
      </c>
      <c r="L10" s="17">
        <v>0.12554908859983768</v>
      </c>
      <c r="M10" s="18">
        <v>134.84353964692801</v>
      </c>
      <c r="N10" s="17">
        <v>0.66717224336428171</v>
      </c>
      <c r="O10" s="18">
        <v>63.270793453577603</v>
      </c>
      <c r="P10" s="17">
        <v>0.49832731036318223</v>
      </c>
      <c r="Q10" s="18">
        <v>9428.77</v>
      </c>
      <c r="R10" s="17">
        <v>1.3812069723158049</v>
      </c>
      <c r="S10" s="15">
        <v>5.8400000000000001E-2</v>
      </c>
      <c r="T10" s="15">
        <v>4.36E-2</v>
      </c>
      <c r="U10" s="18">
        <v>39.6</v>
      </c>
    </row>
    <row r="11" spans="1:21" x14ac:dyDescent="0.3">
      <c r="A11">
        <v>2003</v>
      </c>
      <c r="B11" s="10" t="s">
        <v>10</v>
      </c>
      <c r="C11" s="11">
        <v>10317</v>
      </c>
      <c r="D11" s="2">
        <v>6550704</v>
      </c>
      <c r="E11" s="2">
        <v>119211427</v>
      </c>
      <c r="F11" s="2">
        <v>25718238</v>
      </c>
      <c r="G11" s="5" t="s">
        <v>22</v>
      </c>
      <c r="I11" s="15">
        <v>3.9800000000000002E-2</v>
      </c>
      <c r="J11" s="15">
        <v>0.4042</v>
      </c>
      <c r="K11" s="16">
        <v>11.23</v>
      </c>
      <c r="L11" s="17">
        <v>0.12554908859983768</v>
      </c>
      <c r="M11" s="18">
        <v>75.822968183017494</v>
      </c>
      <c r="N11" s="17">
        <v>0.4979805210857382</v>
      </c>
      <c r="O11" s="18">
        <v>63.270793453577603</v>
      </c>
      <c r="P11" s="17">
        <v>0.49832731036318223</v>
      </c>
      <c r="Q11" s="18">
        <v>9428.77</v>
      </c>
      <c r="R11" s="17">
        <v>1.3812069723158049</v>
      </c>
      <c r="S11" s="15">
        <v>5.8400000000000001E-2</v>
      </c>
      <c r="T11" s="15">
        <v>4.36E-2</v>
      </c>
      <c r="U11" s="18">
        <v>39.6</v>
      </c>
    </row>
    <row r="12" spans="1:21" x14ac:dyDescent="0.3">
      <c r="A12">
        <v>2003</v>
      </c>
      <c r="B12" s="10" t="s">
        <v>11</v>
      </c>
      <c r="C12" s="11">
        <v>45550</v>
      </c>
      <c r="D12" s="2">
        <v>4019298</v>
      </c>
      <c r="E12" s="2">
        <v>67463115</v>
      </c>
      <c r="F12" s="2">
        <v>31293852</v>
      </c>
      <c r="G12" s="5" t="s">
        <v>22</v>
      </c>
      <c r="I12" s="15">
        <v>3.9800000000000002E-2</v>
      </c>
      <c r="J12" s="15">
        <v>0.4042</v>
      </c>
      <c r="K12" s="16">
        <v>11.23</v>
      </c>
      <c r="L12" s="17">
        <v>0.12554908859983768</v>
      </c>
      <c r="M12" s="18">
        <v>63.002275005430299</v>
      </c>
      <c r="N12" s="17">
        <v>0.39177816566126489</v>
      </c>
      <c r="O12" s="18">
        <v>67.611435576755497</v>
      </c>
      <c r="P12" s="17">
        <v>0.39685460140143669</v>
      </c>
      <c r="Q12" s="18">
        <v>9428.77</v>
      </c>
      <c r="R12" s="17">
        <v>1.3812069723158049</v>
      </c>
      <c r="S12" s="15">
        <v>5.8400000000000001E-2</v>
      </c>
      <c r="T12" s="15">
        <v>4.36E-2</v>
      </c>
      <c r="U12" s="18">
        <v>39.6</v>
      </c>
    </row>
    <row r="13" spans="1:21" x14ac:dyDescent="0.3">
      <c r="A13">
        <v>2003</v>
      </c>
      <c r="B13" s="10" t="s">
        <v>12</v>
      </c>
      <c r="C13" s="11">
        <v>68432</v>
      </c>
      <c r="D13" s="2">
        <v>18111299</v>
      </c>
      <c r="E13" s="2">
        <v>85115144</v>
      </c>
      <c r="F13" s="2">
        <v>38677083</v>
      </c>
      <c r="G13" s="5" t="s">
        <v>22</v>
      </c>
      <c r="I13" s="15">
        <v>3.9800000000000002E-2</v>
      </c>
      <c r="J13" s="15">
        <v>0.4042</v>
      </c>
      <c r="K13" s="16">
        <v>11.23</v>
      </c>
      <c r="L13" s="17">
        <v>0.12554908859983768</v>
      </c>
      <c r="M13" s="18">
        <v>55.715828983655598</v>
      </c>
      <c r="N13" s="17">
        <v>1.1160138195800151</v>
      </c>
      <c r="O13" s="18">
        <v>63.270793453577603</v>
      </c>
      <c r="P13" s="17">
        <v>0.49832731036318223</v>
      </c>
      <c r="Q13" s="18">
        <v>9428.77</v>
      </c>
      <c r="R13" s="17">
        <v>1.3812069723158049</v>
      </c>
      <c r="S13" s="15">
        <v>5.8400000000000001E-2</v>
      </c>
      <c r="T13" s="15">
        <v>4.36E-2</v>
      </c>
      <c r="U13" s="18">
        <v>39.6</v>
      </c>
    </row>
    <row r="14" spans="1:21" x14ac:dyDescent="0.3">
      <c r="A14">
        <v>2003</v>
      </c>
      <c r="B14" s="10" t="s">
        <v>13</v>
      </c>
      <c r="C14" s="11">
        <v>320</v>
      </c>
      <c r="D14" s="2">
        <v>2673345</v>
      </c>
      <c r="E14" s="2">
        <v>22658055</v>
      </c>
      <c r="F14" s="2">
        <v>5253393</v>
      </c>
      <c r="G14" s="5" t="s">
        <v>22</v>
      </c>
      <c r="I14" s="15">
        <v>3.9800000000000002E-2</v>
      </c>
      <c r="J14" s="15">
        <v>0.4042</v>
      </c>
      <c r="K14" s="16">
        <v>11.23</v>
      </c>
      <c r="L14" s="17">
        <v>0.12554908859983768</v>
      </c>
      <c r="M14" s="18">
        <v>50.760238595981598</v>
      </c>
      <c r="N14" s="17">
        <v>0.46108323921986716</v>
      </c>
      <c r="O14" s="18">
        <v>63.270793453577603</v>
      </c>
      <c r="P14" s="17">
        <v>0.49832731036318223</v>
      </c>
      <c r="Q14" s="18">
        <v>9428.77</v>
      </c>
      <c r="R14" s="17">
        <v>1.3812069723158049</v>
      </c>
      <c r="S14" s="15">
        <v>5.8400000000000001E-2</v>
      </c>
      <c r="T14" s="15">
        <v>4.36E-2</v>
      </c>
      <c r="U14" s="18">
        <v>39.6</v>
      </c>
    </row>
    <row r="15" spans="1:21" x14ac:dyDescent="0.3">
      <c r="A15">
        <v>2003</v>
      </c>
      <c r="B15" s="10" t="s">
        <v>14</v>
      </c>
      <c r="C15" s="11">
        <v>42527</v>
      </c>
      <c r="D15" s="2">
        <v>21136805</v>
      </c>
      <c r="E15" s="2">
        <v>75825638</v>
      </c>
      <c r="F15" s="2">
        <v>31095781</v>
      </c>
      <c r="G15" s="5" t="s">
        <v>22</v>
      </c>
      <c r="I15" s="15">
        <v>3.9800000000000002E-2</v>
      </c>
      <c r="J15" s="15">
        <v>0.4042</v>
      </c>
      <c r="K15" s="16">
        <v>11.23</v>
      </c>
      <c r="L15" s="17">
        <v>0.12554908859983768</v>
      </c>
      <c r="M15" s="18">
        <v>55.008360129875598</v>
      </c>
      <c r="N15" s="17">
        <v>0.55936433040638955</v>
      </c>
      <c r="O15" s="18">
        <v>63.270793453577603</v>
      </c>
      <c r="P15" s="17">
        <v>0.49832731036318223</v>
      </c>
      <c r="Q15" s="18">
        <v>9428.77</v>
      </c>
      <c r="R15" s="17">
        <v>1.3812069723158049</v>
      </c>
      <c r="S15" s="15">
        <v>5.8400000000000001E-2</v>
      </c>
      <c r="T15" s="15">
        <v>4.36E-2</v>
      </c>
      <c r="U15" s="18">
        <v>39.6</v>
      </c>
    </row>
    <row r="16" spans="1:21" x14ac:dyDescent="0.3">
      <c r="A16">
        <v>2003</v>
      </c>
      <c r="B16" s="10" t="s">
        <v>15</v>
      </c>
      <c r="C16" s="11">
        <v>30725</v>
      </c>
      <c r="D16" s="2">
        <v>20820261</v>
      </c>
      <c r="E16" s="2">
        <v>46447933</v>
      </c>
      <c r="F16" s="2">
        <v>12450364</v>
      </c>
      <c r="G16" s="5" t="s">
        <v>22</v>
      </c>
      <c r="I16" s="15">
        <v>3.9800000000000002E-2</v>
      </c>
      <c r="J16" s="15">
        <v>0.4042</v>
      </c>
      <c r="K16" s="16">
        <v>11.23</v>
      </c>
      <c r="L16" s="17">
        <v>0.12554908859983768</v>
      </c>
      <c r="M16" s="18">
        <v>41.921479744820502</v>
      </c>
      <c r="N16" s="17">
        <v>0.95504807268652181</v>
      </c>
      <c r="O16" s="18">
        <v>49.633049330608799</v>
      </c>
      <c r="P16" s="17">
        <v>0.85298862757688876</v>
      </c>
      <c r="Q16" s="18">
        <v>9428.77</v>
      </c>
      <c r="R16" s="17">
        <v>1.3812069723158049</v>
      </c>
      <c r="S16" s="15">
        <v>5.8400000000000001E-2</v>
      </c>
      <c r="T16" s="15">
        <v>4.36E-2</v>
      </c>
      <c r="U16" s="18">
        <v>39.6</v>
      </c>
    </row>
    <row r="17" spans="1:21" x14ac:dyDescent="0.3">
      <c r="A17">
        <v>2003</v>
      </c>
      <c r="B17" s="10" t="s">
        <v>16</v>
      </c>
      <c r="C17" s="11">
        <v>102867</v>
      </c>
      <c r="D17" s="2">
        <v>6102576</v>
      </c>
      <c r="E17" s="2">
        <v>31781228</v>
      </c>
      <c r="F17" s="2">
        <v>14350287</v>
      </c>
      <c r="G17" s="5" t="s">
        <v>22</v>
      </c>
      <c r="I17" s="15">
        <v>3.9800000000000002E-2</v>
      </c>
      <c r="J17" s="15">
        <v>0.4042</v>
      </c>
      <c r="K17" s="16">
        <v>11.23</v>
      </c>
      <c r="L17" s="17">
        <v>0.12554908859983768</v>
      </c>
      <c r="M17" s="18">
        <v>43.005565889645403</v>
      </c>
      <c r="N17" s="17">
        <v>1.2282906526392483</v>
      </c>
      <c r="O17" s="18">
        <v>63.270793453577603</v>
      </c>
      <c r="P17" s="17">
        <v>0.49832731036318223</v>
      </c>
      <c r="Q17" s="18">
        <v>9428.77</v>
      </c>
      <c r="R17" s="17">
        <v>1.3812069723158049</v>
      </c>
      <c r="S17" s="15">
        <v>5.8400000000000001E-2</v>
      </c>
      <c r="T17" s="15">
        <v>4.36E-2</v>
      </c>
      <c r="U17" s="18">
        <v>39.6</v>
      </c>
    </row>
    <row r="18" spans="1:21" x14ac:dyDescent="0.3">
      <c r="A18">
        <v>2003</v>
      </c>
      <c r="B18" s="10" t="s">
        <v>17</v>
      </c>
      <c r="C18" s="11">
        <v>31732</v>
      </c>
      <c r="D18" s="2">
        <v>3041371</v>
      </c>
      <c r="E18" s="2">
        <v>17965881</v>
      </c>
      <c r="F18" s="2">
        <v>9082533</v>
      </c>
      <c r="G18" s="5" t="s">
        <v>22</v>
      </c>
      <c r="I18" s="15">
        <v>3.9800000000000002E-2</v>
      </c>
      <c r="J18" s="15">
        <v>0.4042</v>
      </c>
      <c r="K18" s="16">
        <v>11.23</v>
      </c>
      <c r="L18" s="17">
        <v>0.12554908859983768</v>
      </c>
      <c r="M18" s="18">
        <v>54.4390395522611</v>
      </c>
      <c r="N18" s="17">
        <v>0.85644794972680205</v>
      </c>
      <c r="O18" s="18">
        <v>63.270793453577603</v>
      </c>
      <c r="P18" s="17">
        <v>0.49832731036318223</v>
      </c>
      <c r="Q18" s="18">
        <v>9428.77</v>
      </c>
      <c r="R18" s="17">
        <v>1.3812069723158049</v>
      </c>
      <c r="S18" s="15">
        <v>5.8400000000000001E-2</v>
      </c>
      <c r="T18" s="15">
        <v>4.36E-2</v>
      </c>
      <c r="U18" s="18">
        <v>39.6</v>
      </c>
    </row>
    <row r="19" spans="1:21" x14ac:dyDescent="0.3">
      <c r="A19">
        <v>2003</v>
      </c>
      <c r="B19" s="10" t="s">
        <v>18</v>
      </c>
      <c r="C19" s="11">
        <v>277234</v>
      </c>
      <c r="D19" s="2">
        <v>19245758</v>
      </c>
      <c r="E19" s="2">
        <v>136612182</v>
      </c>
      <c r="F19" s="2">
        <v>82177517</v>
      </c>
      <c r="G19" s="5" t="s">
        <v>22</v>
      </c>
      <c r="I19" s="15">
        <v>3.9800000000000002E-2</v>
      </c>
      <c r="J19" s="15">
        <v>0.4042</v>
      </c>
      <c r="K19" s="16">
        <v>11.23</v>
      </c>
      <c r="L19" s="17">
        <v>0.12554908859983768</v>
      </c>
      <c r="M19" s="18">
        <v>53.011078994655598</v>
      </c>
      <c r="N19" s="17">
        <v>0.79996843153929564</v>
      </c>
      <c r="O19" s="18">
        <v>45.535415609711201</v>
      </c>
      <c r="P19" s="17">
        <v>31.778526525312699</v>
      </c>
      <c r="Q19" s="18">
        <v>9428.77</v>
      </c>
      <c r="R19" s="17">
        <v>1.3812069723158049</v>
      </c>
      <c r="S19" s="15">
        <v>5.8400000000000001E-2</v>
      </c>
      <c r="T19" s="15">
        <v>4.36E-2</v>
      </c>
      <c r="U19" s="18">
        <v>39.6</v>
      </c>
    </row>
    <row r="20" spans="1:21" s="1" customFormat="1" x14ac:dyDescent="0.3">
      <c r="A20" s="1">
        <v>2003</v>
      </c>
      <c r="B20" s="12" t="s">
        <v>19</v>
      </c>
      <c r="C20" s="13">
        <v>394961</v>
      </c>
      <c r="D20" s="3">
        <v>15813556</v>
      </c>
      <c r="E20" s="3">
        <v>90110081</v>
      </c>
      <c r="F20" s="3">
        <v>43277319</v>
      </c>
      <c r="G20" s="5" t="s">
        <v>22</v>
      </c>
      <c r="I20" s="15">
        <v>3.9800000000000002E-2</v>
      </c>
      <c r="J20" s="15">
        <v>0.4042</v>
      </c>
      <c r="K20" s="16">
        <v>11.23</v>
      </c>
      <c r="L20" s="17">
        <v>0.12554908859983768</v>
      </c>
      <c r="M20" s="18">
        <v>56.487617867753698</v>
      </c>
      <c r="N20" s="17">
        <v>0.52780261903101322</v>
      </c>
      <c r="O20" s="18">
        <v>63.956923904000597</v>
      </c>
      <c r="P20" s="17">
        <v>0.51924262074268213</v>
      </c>
      <c r="Q20" s="18">
        <v>9428.77</v>
      </c>
      <c r="R20" s="17">
        <v>1.3812069723158049</v>
      </c>
      <c r="S20" s="15">
        <v>5.8400000000000001E-2</v>
      </c>
      <c r="T20" s="15">
        <v>4.36E-2</v>
      </c>
      <c r="U20" s="18">
        <v>39.6</v>
      </c>
    </row>
    <row r="21" spans="1:21" x14ac:dyDescent="0.3">
      <c r="A21">
        <v>2008</v>
      </c>
      <c r="B21" s="10" t="s">
        <v>2</v>
      </c>
      <c r="C21" s="11">
        <v>19405</v>
      </c>
      <c r="D21" s="2">
        <v>1235292</v>
      </c>
      <c r="E21" s="2">
        <v>6964616</v>
      </c>
      <c r="F21" s="2">
        <v>14502265</v>
      </c>
      <c r="G21" s="5">
        <v>58.302902018928002</v>
      </c>
      <c r="H21" s="7">
        <f>LN(G21/G2)</f>
        <v>0.42387460859091364</v>
      </c>
      <c r="I21" s="15">
        <v>6.5299999999999997E-2</v>
      </c>
      <c r="J21" s="15">
        <v>0.25080000000000002</v>
      </c>
      <c r="K21" s="16">
        <v>13.67</v>
      </c>
      <c r="L21" s="17">
        <v>0.19661488198550628</v>
      </c>
      <c r="M21" s="18">
        <v>59.658009874152398</v>
      </c>
      <c r="N21" s="17">
        <v>0.33425468576600315</v>
      </c>
      <c r="O21" s="18">
        <v>60.977600071803401</v>
      </c>
      <c r="P21" s="17">
        <v>0.37417514705830834</v>
      </c>
      <c r="Q21" s="18">
        <v>19565.14</v>
      </c>
      <c r="R21" s="17">
        <v>1.0750469043151969</v>
      </c>
      <c r="S21" s="15">
        <v>6.0199999999999997E-2</v>
      </c>
      <c r="T21" s="15">
        <v>7.1999999999999995E-2</v>
      </c>
      <c r="U21" s="18">
        <v>35</v>
      </c>
    </row>
    <row r="22" spans="1:21" x14ac:dyDescent="0.3">
      <c r="A22">
        <v>2008</v>
      </c>
      <c r="B22" s="10" t="s">
        <v>3</v>
      </c>
      <c r="C22" s="11">
        <v>2852</v>
      </c>
      <c r="D22" s="2">
        <v>3654294</v>
      </c>
      <c r="E22" s="2">
        <v>56162765</v>
      </c>
      <c r="F22" s="2">
        <v>101745950</v>
      </c>
      <c r="G22" s="5">
        <v>54.23220176183785</v>
      </c>
      <c r="H22" s="7">
        <f t="shared" ref="H22:H77" si="0">LN(G22/G3)</f>
        <v>0.52279523547813755</v>
      </c>
      <c r="I22" s="15">
        <v>6.5299999999999997E-2</v>
      </c>
      <c r="J22" s="15">
        <v>0.25080000000000002</v>
      </c>
      <c r="K22" s="16">
        <v>13.67</v>
      </c>
      <c r="L22" s="17">
        <v>0.19661488198550628</v>
      </c>
      <c r="M22" s="18">
        <v>86.655497844382495</v>
      </c>
      <c r="N22" s="17">
        <v>1.7058512096333831</v>
      </c>
      <c r="O22" s="18">
        <v>60.369264045548903</v>
      </c>
      <c r="P22" s="17">
        <v>0.35874412580337567</v>
      </c>
      <c r="Q22" s="18">
        <v>19565.14</v>
      </c>
      <c r="R22" s="17">
        <v>1.0750469043151969</v>
      </c>
      <c r="S22" s="15">
        <v>6.0199999999999997E-2</v>
      </c>
      <c r="T22" s="15">
        <v>7.1999999999999995E-2</v>
      </c>
      <c r="U22" s="18">
        <v>35</v>
      </c>
    </row>
    <row r="23" spans="1:21" x14ac:dyDescent="0.3">
      <c r="A23">
        <v>2008</v>
      </c>
      <c r="B23" s="10" t="s">
        <v>4</v>
      </c>
      <c r="C23" s="11">
        <v>2475</v>
      </c>
      <c r="D23" s="2">
        <v>2645475</v>
      </c>
      <c r="E23" s="2">
        <v>44253582</v>
      </c>
      <c r="F23" s="2">
        <v>55131815</v>
      </c>
      <c r="G23" s="5">
        <v>78.958082751731695</v>
      </c>
      <c r="H23" s="7">
        <f t="shared" si="0"/>
        <v>0.50424199919177826</v>
      </c>
      <c r="I23" s="15">
        <v>6.5299999999999997E-2</v>
      </c>
      <c r="J23" s="15">
        <v>0.25080000000000002</v>
      </c>
      <c r="K23" s="16">
        <v>13.67</v>
      </c>
      <c r="L23" s="17">
        <v>0.19661488198550628</v>
      </c>
      <c r="M23" s="18">
        <v>63.768830197778797</v>
      </c>
      <c r="N23" s="17">
        <v>-6.6998455398947998E-2</v>
      </c>
      <c r="O23" s="18">
        <v>59.962822592895897</v>
      </c>
      <c r="P23" s="17">
        <v>0.34917675520484925</v>
      </c>
      <c r="Q23" s="18">
        <v>19565.14</v>
      </c>
      <c r="R23" s="17">
        <v>1.0750469043151969</v>
      </c>
      <c r="S23" s="15">
        <v>6.0199999999999997E-2</v>
      </c>
      <c r="T23" s="15">
        <v>7.1999999999999995E-2</v>
      </c>
      <c r="U23" s="18">
        <v>35</v>
      </c>
    </row>
    <row r="24" spans="1:21" x14ac:dyDescent="0.3">
      <c r="A24">
        <v>2008</v>
      </c>
      <c r="B24" s="10" t="s">
        <v>5</v>
      </c>
      <c r="C24" s="11">
        <v>18231</v>
      </c>
      <c r="D24" s="2">
        <v>23002047</v>
      </c>
      <c r="E24" s="2">
        <v>174176025</v>
      </c>
      <c r="F24" s="2">
        <v>238350642</v>
      </c>
      <c r="G24" s="5">
        <v>62.651428019598399</v>
      </c>
      <c r="H24" s="7">
        <f t="shared" si="0"/>
        <v>0.40408415503123296</v>
      </c>
      <c r="I24" s="15">
        <v>6.5299999999999997E-2</v>
      </c>
      <c r="J24" s="15">
        <v>0.25080000000000002</v>
      </c>
      <c r="K24" s="16">
        <v>13.67</v>
      </c>
      <c r="L24" s="17">
        <v>0.19661488198550628</v>
      </c>
      <c r="M24" s="18">
        <v>61.882462100125998</v>
      </c>
      <c r="N24" s="17">
        <v>0.35258875651570887</v>
      </c>
      <c r="O24" s="18">
        <v>69.295552363249001</v>
      </c>
      <c r="P24" s="17">
        <v>0.25014953830048703</v>
      </c>
      <c r="Q24" s="18">
        <v>19565.14</v>
      </c>
      <c r="R24" s="17">
        <v>1.0750469043151969</v>
      </c>
      <c r="S24" s="15">
        <v>6.0199999999999997E-2</v>
      </c>
      <c r="T24" s="15">
        <v>7.1999999999999995E-2</v>
      </c>
      <c r="U24" s="18">
        <v>35</v>
      </c>
    </row>
    <row r="25" spans="1:21" x14ac:dyDescent="0.3">
      <c r="A25">
        <v>2008</v>
      </c>
      <c r="B25" s="10" t="s">
        <v>6</v>
      </c>
      <c r="C25" s="11">
        <v>433618</v>
      </c>
      <c r="D25" s="2">
        <v>105404098</v>
      </c>
      <c r="E25" s="2">
        <v>776704670</v>
      </c>
      <c r="F25" s="2">
        <v>1133768739</v>
      </c>
      <c r="G25" s="5">
        <v>61.631007247362298</v>
      </c>
      <c r="H25" s="7">
        <f t="shared" si="0"/>
        <v>0.32494172937524529</v>
      </c>
      <c r="I25" s="15">
        <v>6.5299999999999997E-2</v>
      </c>
      <c r="J25" s="15">
        <v>0.25080000000000002</v>
      </c>
      <c r="K25" s="16">
        <v>13.67</v>
      </c>
      <c r="L25" s="17">
        <v>0.19661488198550628</v>
      </c>
      <c r="M25" s="18">
        <v>56.374135978432697</v>
      </c>
      <c r="N25" s="17">
        <v>0.38951152022430158</v>
      </c>
      <c r="O25" s="18">
        <v>69.295552363249001</v>
      </c>
      <c r="P25" s="17">
        <v>0.25014953830048703</v>
      </c>
      <c r="Q25" s="18">
        <v>19565.14</v>
      </c>
      <c r="R25" s="17">
        <v>1.0750469043151969</v>
      </c>
      <c r="S25" s="15">
        <v>6.0199999999999997E-2</v>
      </c>
      <c r="T25" s="15">
        <v>7.1999999999999995E-2</v>
      </c>
      <c r="U25" s="18">
        <v>35</v>
      </c>
    </row>
    <row r="26" spans="1:21" x14ac:dyDescent="0.3">
      <c r="A26">
        <v>2008</v>
      </c>
      <c r="B26" s="10" t="s">
        <v>7</v>
      </c>
      <c r="C26" s="11">
        <v>117684</v>
      </c>
      <c r="D26" s="2">
        <v>58458522</v>
      </c>
      <c r="E26" s="2">
        <v>1754093517</v>
      </c>
      <c r="F26" s="2">
        <v>1985568050</v>
      </c>
      <c r="G26" s="5">
        <v>69.295552000000001</v>
      </c>
      <c r="H26" s="7">
        <f t="shared" si="0"/>
        <v>0.22326316571178179</v>
      </c>
      <c r="I26" s="15">
        <v>6.5299999999999997E-2</v>
      </c>
      <c r="J26" s="15">
        <v>0.25080000000000002</v>
      </c>
      <c r="K26" s="16">
        <v>13.67</v>
      </c>
      <c r="L26" s="17">
        <v>0.19661488198550628</v>
      </c>
      <c r="M26" s="18">
        <v>61.279441639412802</v>
      </c>
      <c r="N26" s="17">
        <v>0.36744901216860737</v>
      </c>
      <c r="O26" s="18">
        <v>67.861269685294602</v>
      </c>
      <c r="P26" s="17">
        <v>0.229801596673328</v>
      </c>
      <c r="Q26" s="18">
        <v>19565.14</v>
      </c>
      <c r="R26" s="17">
        <v>1.0750469043151969</v>
      </c>
      <c r="S26" s="15">
        <v>6.0199999999999997E-2</v>
      </c>
      <c r="T26" s="15">
        <v>7.1999999999999995E-2</v>
      </c>
      <c r="U26" s="18">
        <v>35</v>
      </c>
    </row>
    <row r="27" spans="1:21" x14ac:dyDescent="0.3">
      <c r="A27">
        <v>2008</v>
      </c>
      <c r="B27" s="10" t="s">
        <v>8</v>
      </c>
      <c r="C27" s="11">
        <v>1740034</v>
      </c>
      <c r="D27" s="2">
        <v>80501258</v>
      </c>
      <c r="E27" s="2">
        <v>2088830391</v>
      </c>
      <c r="F27" s="2">
        <v>2398407694</v>
      </c>
      <c r="G27" s="5">
        <v>69.295552000000001</v>
      </c>
      <c r="H27" s="7">
        <f t="shared" si="0"/>
        <v>0.22326316571178179</v>
      </c>
      <c r="I27" s="15">
        <v>6.5299999999999997E-2</v>
      </c>
      <c r="J27" s="15">
        <v>0.25080000000000002</v>
      </c>
      <c r="K27" s="16">
        <v>13.67</v>
      </c>
      <c r="L27" s="17">
        <v>0.19661488198550628</v>
      </c>
      <c r="M27" s="18">
        <v>59.640494837724603</v>
      </c>
      <c r="N27" s="17">
        <v>0.37600586019917626</v>
      </c>
      <c r="O27" s="18">
        <v>67.861269685294602</v>
      </c>
      <c r="P27" s="17">
        <v>0.229801596673328</v>
      </c>
      <c r="Q27" s="18">
        <v>19565.14</v>
      </c>
      <c r="R27" s="17">
        <v>1.0750469043151969</v>
      </c>
      <c r="S27" s="15">
        <v>6.0199999999999997E-2</v>
      </c>
      <c r="T27" s="15">
        <v>7.1999999999999995E-2</v>
      </c>
      <c r="U27" s="18">
        <v>35</v>
      </c>
    </row>
    <row r="28" spans="1:21" x14ac:dyDescent="0.3">
      <c r="A28">
        <v>2008</v>
      </c>
      <c r="B28" s="10" t="s">
        <v>20</v>
      </c>
      <c r="C28" s="11">
        <v>17261</v>
      </c>
      <c r="D28" s="2">
        <v>25645870</v>
      </c>
      <c r="E28" s="2">
        <v>101580934</v>
      </c>
      <c r="F28" s="2">
        <v>194918608</v>
      </c>
      <c r="G28" s="5">
        <v>62.040855758035804</v>
      </c>
      <c r="H28" s="7">
        <f t="shared" si="0"/>
        <v>0.29254274024304694</v>
      </c>
      <c r="I28" s="15">
        <v>6.5299999999999997E-2</v>
      </c>
      <c r="J28" s="15">
        <v>0.25080000000000002</v>
      </c>
      <c r="K28" s="16">
        <v>13.67</v>
      </c>
      <c r="L28" s="17">
        <v>0.19661488198550628</v>
      </c>
      <c r="M28" s="18">
        <v>63.848898611001303</v>
      </c>
      <c r="N28" s="17">
        <v>0.33527692384409957</v>
      </c>
      <c r="O28" s="18">
        <v>57.751539045956797</v>
      </c>
      <c r="P28" s="17">
        <v>0.37480759270554187</v>
      </c>
      <c r="Q28" s="18">
        <v>19565.14</v>
      </c>
      <c r="R28" s="17">
        <v>1.0750469043151969</v>
      </c>
      <c r="S28" s="15">
        <v>6.0199999999999997E-2</v>
      </c>
      <c r="T28" s="15">
        <v>7.1999999999999995E-2</v>
      </c>
      <c r="U28" s="18">
        <v>35</v>
      </c>
    </row>
    <row r="29" spans="1:21" x14ac:dyDescent="0.3">
      <c r="A29">
        <v>2008</v>
      </c>
      <c r="B29" s="10" t="s">
        <v>9</v>
      </c>
      <c r="C29" s="11">
        <v>11172</v>
      </c>
      <c r="D29" s="2">
        <v>8331185</v>
      </c>
      <c r="E29" s="2">
        <v>69750852</v>
      </c>
      <c r="F29" s="2">
        <v>104938110</v>
      </c>
      <c r="G29" s="5" t="s">
        <v>22</v>
      </c>
      <c r="H29" s="5"/>
      <c r="I29" s="15">
        <v>6.5299999999999997E-2</v>
      </c>
      <c r="J29" s="15">
        <v>0.25080000000000002</v>
      </c>
      <c r="K29" s="16">
        <v>13.67</v>
      </c>
      <c r="L29" s="17">
        <v>0.19661488198550628</v>
      </c>
      <c r="M29" s="18">
        <v>163.59797284083999</v>
      </c>
      <c r="N29" s="17">
        <v>0.21324294266675348</v>
      </c>
      <c r="O29" s="18">
        <v>76.597609807411303</v>
      </c>
      <c r="P29" s="17">
        <v>0.21063140868640629</v>
      </c>
      <c r="Q29" s="18">
        <v>19565.14</v>
      </c>
      <c r="R29" s="17">
        <v>1.0750469043151969</v>
      </c>
      <c r="S29" s="15">
        <v>6.0199999999999997E-2</v>
      </c>
      <c r="T29" s="15">
        <v>7.1999999999999995E-2</v>
      </c>
      <c r="U29" s="18">
        <v>35</v>
      </c>
    </row>
    <row r="30" spans="1:21" x14ac:dyDescent="0.3">
      <c r="A30">
        <v>2008</v>
      </c>
      <c r="B30" s="10" t="s">
        <v>10</v>
      </c>
      <c r="C30" s="11">
        <v>18578</v>
      </c>
      <c r="D30" s="2">
        <v>8508805</v>
      </c>
      <c r="E30" s="2">
        <v>171668121</v>
      </c>
      <c r="F30" s="2">
        <v>206075433</v>
      </c>
      <c r="G30" s="5" t="s">
        <v>22</v>
      </c>
      <c r="H30" s="5"/>
      <c r="I30" s="15">
        <v>6.5299999999999997E-2</v>
      </c>
      <c r="J30" s="15">
        <v>0.25080000000000002</v>
      </c>
      <c r="K30" s="16">
        <v>13.67</v>
      </c>
      <c r="L30" s="17">
        <v>0.19661488198550628</v>
      </c>
      <c r="M30" s="18">
        <v>106.006867526992</v>
      </c>
      <c r="N30" s="17">
        <v>0.39808385331365814</v>
      </c>
      <c r="O30" s="18">
        <v>76.597609807411303</v>
      </c>
      <c r="P30" s="17">
        <v>0.21063140868640629</v>
      </c>
      <c r="Q30" s="18">
        <v>19565.14</v>
      </c>
      <c r="R30" s="17">
        <v>1.0750469043151969</v>
      </c>
      <c r="S30" s="15">
        <v>6.0199999999999997E-2</v>
      </c>
      <c r="T30" s="15">
        <v>7.1999999999999995E-2</v>
      </c>
      <c r="U30" s="18">
        <v>35</v>
      </c>
    </row>
    <row r="31" spans="1:21" x14ac:dyDescent="0.3">
      <c r="A31">
        <v>2008</v>
      </c>
      <c r="B31" s="10" t="s">
        <v>11</v>
      </c>
      <c r="C31" s="11">
        <v>54165</v>
      </c>
      <c r="D31" s="2">
        <v>7269240</v>
      </c>
      <c r="E31" s="2">
        <v>48220584</v>
      </c>
      <c r="F31" s="2">
        <v>85640604</v>
      </c>
      <c r="G31" s="5" t="s">
        <v>22</v>
      </c>
      <c r="H31" s="5"/>
      <c r="I31" s="15">
        <v>6.5299999999999997E-2</v>
      </c>
      <c r="J31" s="15">
        <v>0.25080000000000002</v>
      </c>
      <c r="K31" s="16">
        <v>13.67</v>
      </c>
      <c r="L31" s="17">
        <v>0.19661488198550628</v>
      </c>
      <c r="M31" s="18">
        <v>78.119367544222797</v>
      </c>
      <c r="N31" s="17">
        <v>0.23994518511418073</v>
      </c>
      <c r="O31" s="18">
        <v>80.071321557620195</v>
      </c>
      <c r="P31" s="17">
        <v>0.18428666503789404</v>
      </c>
      <c r="Q31" s="18">
        <v>19565.14</v>
      </c>
      <c r="R31" s="17">
        <v>1.0750469043151969</v>
      </c>
      <c r="S31" s="15">
        <v>6.0199999999999997E-2</v>
      </c>
      <c r="T31" s="15">
        <v>7.1999999999999995E-2</v>
      </c>
      <c r="U31" s="18">
        <v>35</v>
      </c>
    </row>
    <row r="32" spans="1:21" x14ac:dyDescent="0.3">
      <c r="A32">
        <v>2008</v>
      </c>
      <c r="B32" s="10" t="s">
        <v>12</v>
      </c>
      <c r="C32" s="11">
        <v>84535</v>
      </c>
      <c r="D32" s="2">
        <v>27581613</v>
      </c>
      <c r="E32" s="2">
        <v>59062182</v>
      </c>
      <c r="F32" s="2">
        <v>129529703</v>
      </c>
      <c r="G32" s="5" t="s">
        <v>22</v>
      </c>
      <c r="H32" s="5"/>
      <c r="I32" s="15">
        <v>6.5299999999999997E-2</v>
      </c>
      <c r="J32" s="15">
        <v>0.25080000000000002</v>
      </c>
      <c r="K32" s="16">
        <v>13.67</v>
      </c>
      <c r="L32" s="17">
        <v>0.19661488198550628</v>
      </c>
      <c r="M32" s="18">
        <v>70.106671355030599</v>
      </c>
      <c r="N32" s="17">
        <v>0.25829001621059255</v>
      </c>
      <c r="O32" s="18">
        <v>76.597609807411303</v>
      </c>
      <c r="P32" s="17">
        <v>0.21063140868640629</v>
      </c>
      <c r="Q32" s="18">
        <v>19565.14</v>
      </c>
      <c r="R32" s="17">
        <v>1.0750469043151969</v>
      </c>
      <c r="S32" s="15">
        <v>6.0199999999999997E-2</v>
      </c>
      <c r="T32" s="15">
        <v>7.1999999999999995E-2</v>
      </c>
      <c r="U32" s="18">
        <v>35</v>
      </c>
    </row>
    <row r="33" spans="1:21" x14ac:dyDescent="0.3">
      <c r="A33">
        <v>2008</v>
      </c>
      <c r="B33" s="10" t="s">
        <v>13</v>
      </c>
      <c r="C33" s="11">
        <v>182</v>
      </c>
      <c r="D33" s="2">
        <v>708811</v>
      </c>
      <c r="E33" s="2">
        <v>13400147</v>
      </c>
      <c r="F33" s="2">
        <v>54563631</v>
      </c>
      <c r="G33" s="5" t="s">
        <v>22</v>
      </c>
      <c r="H33" s="5"/>
      <c r="I33" s="15">
        <v>6.5299999999999997E-2</v>
      </c>
      <c r="J33" s="15">
        <v>0.25080000000000002</v>
      </c>
      <c r="K33" s="16">
        <v>13.67</v>
      </c>
      <c r="L33" s="17">
        <v>0.19661488198550628</v>
      </c>
      <c r="M33" s="18">
        <v>70.320998514716806</v>
      </c>
      <c r="N33" s="17">
        <v>0.38535594906135295</v>
      </c>
      <c r="O33" s="18">
        <v>76.597609807411303</v>
      </c>
      <c r="P33" s="17">
        <v>0.21063140868640629</v>
      </c>
      <c r="Q33" s="18">
        <v>19565.14</v>
      </c>
      <c r="R33" s="17">
        <v>1.0750469043151969</v>
      </c>
      <c r="S33" s="15">
        <v>6.0199999999999997E-2</v>
      </c>
      <c r="T33" s="15">
        <v>7.1999999999999995E-2</v>
      </c>
      <c r="U33" s="18">
        <v>35</v>
      </c>
    </row>
    <row r="34" spans="1:21" x14ac:dyDescent="0.3">
      <c r="A34">
        <v>2008</v>
      </c>
      <c r="B34" s="10" t="s">
        <v>14</v>
      </c>
      <c r="C34" s="11">
        <v>80075</v>
      </c>
      <c r="D34" s="2">
        <v>30122895</v>
      </c>
      <c r="E34" s="2">
        <v>39889031</v>
      </c>
      <c r="F34" s="2">
        <v>100617319</v>
      </c>
      <c r="G34" s="5" t="s">
        <v>22</v>
      </c>
      <c r="H34" s="5"/>
      <c r="I34" s="15">
        <v>6.5299999999999997E-2</v>
      </c>
      <c r="J34" s="15">
        <v>0.25080000000000002</v>
      </c>
      <c r="K34" s="16">
        <v>13.67</v>
      </c>
      <c r="L34" s="17">
        <v>0.19661488198550628</v>
      </c>
      <c r="M34" s="18">
        <v>70.132905905264195</v>
      </c>
      <c r="N34" s="17">
        <v>0.27494994832929587</v>
      </c>
      <c r="O34" s="18">
        <v>76.597609807411303</v>
      </c>
      <c r="P34" s="17">
        <v>0.21063140868640629</v>
      </c>
      <c r="Q34" s="18">
        <v>19565.14</v>
      </c>
      <c r="R34" s="17">
        <v>1.0750469043151969</v>
      </c>
      <c r="S34" s="15">
        <v>6.0199999999999997E-2</v>
      </c>
      <c r="T34" s="15">
        <v>7.1999999999999995E-2</v>
      </c>
      <c r="U34" s="18">
        <v>35</v>
      </c>
    </row>
    <row r="35" spans="1:21" x14ac:dyDescent="0.3">
      <c r="A35">
        <v>2008</v>
      </c>
      <c r="B35" s="10" t="s">
        <v>15</v>
      </c>
      <c r="C35" s="11">
        <v>43108</v>
      </c>
      <c r="D35" s="2">
        <v>32478753</v>
      </c>
      <c r="E35" s="2">
        <v>23985714</v>
      </c>
      <c r="F35" s="2">
        <v>72741880</v>
      </c>
      <c r="G35" s="5" t="s">
        <v>22</v>
      </c>
      <c r="H35" s="5"/>
      <c r="I35" s="15">
        <v>6.5299999999999997E-2</v>
      </c>
      <c r="J35" s="15">
        <v>0.25080000000000002</v>
      </c>
      <c r="K35" s="16">
        <v>13.67</v>
      </c>
      <c r="L35" s="17">
        <v>0.19661488198550628</v>
      </c>
      <c r="M35" s="18">
        <v>59.311468535977298</v>
      </c>
      <c r="N35" s="17">
        <v>0.414822875934034</v>
      </c>
      <c r="O35" s="18">
        <v>67.2147621153009</v>
      </c>
      <c r="P35" s="17">
        <v>0.35423398364221437</v>
      </c>
      <c r="Q35" s="18">
        <v>19565.14</v>
      </c>
      <c r="R35" s="17">
        <v>1.0750469043151969</v>
      </c>
      <c r="S35" s="15">
        <v>6.0199999999999997E-2</v>
      </c>
      <c r="T35" s="15">
        <v>7.1999999999999995E-2</v>
      </c>
      <c r="U35" s="18">
        <v>35</v>
      </c>
    </row>
    <row r="36" spans="1:21" x14ac:dyDescent="0.3">
      <c r="A36">
        <v>2008</v>
      </c>
      <c r="B36" s="10" t="s">
        <v>16</v>
      </c>
      <c r="C36" s="11">
        <v>146434</v>
      </c>
      <c r="D36" s="2">
        <v>12258057</v>
      </c>
      <c r="E36" s="2">
        <v>26321369</v>
      </c>
      <c r="F36" s="2">
        <v>52851271</v>
      </c>
      <c r="G36" s="5" t="s">
        <v>22</v>
      </c>
      <c r="H36" s="5"/>
      <c r="I36" s="15">
        <v>6.5299999999999997E-2</v>
      </c>
      <c r="J36" s="15">
        <v>0.25080000000000002</v>
      </c>
      <c r="K36" s="16">
        <v>13.67</v>
      </c>
      <c r="L36" s="17">
        <v>0.19661488198550628</v>
      </c>
      <c r="M36" s="18">
        <v>54.985644877130802</v>
      </c>
      <c r="N36" s="17">
        <v>0.27857043012122951</v>
      </c>
      <c r="O36" s="18">
        <v>76.597609807411303</v>
      </c>
      <c r="P36" s="17">
        <v>0.21063140868640629</v>
      </c>
      <c r="Q36" s="18">
        <v>19565.14</v>
      </c>
      <c r="R36" s="17">
        <v>1.0750469043151969</v>
      </c>
      <c r="S36" s="15">
        <v>6.0199999999999997E-2</v>
      </c>
      <c r="T36" s="15">
        <v>7.1999999999999995E-2</v>
      </c>
      <c r="U36" s="18">
        <v>35</v>
      </c>
    </row>
    <row r="37" spans="1:21" x14ac:dyDescent="0.3">
      <c r="A37">
        <v>2008</v>
      </c>
      <c r="B37" s="10" t="s">
        <v>17</v>
      </c>
      <c r="C37" s="11">
        <v>41768</v>
      </c>
      <c r="D37" s="2">
        <v>5126946</v>
      </c>
      <c r="E37" s="2">
        <v>15782489</v>
      </c>
      <c r="F37" s="2">
        <v>32278222</v>
      </c>
      <c r="G37" s="5" t="s">
        <v>22</v>
      </c>
      <c r="H37" s="5"/>
      <c r="I37" s="15">
        <v>6.5299999999999997E-2</v>
      </c>
      <c r="J37" s="15">
        <v>0.25080000000000002</v>
      </c>
      <c r="K37" s="16">
        <v>13.67</v>
      </c>
      <c r="L37" s="17">
        <v>0.19661488198550628</v>
      </c>
      <c r="M37" s="18">
        <v>70.351077442908306</v>
      </c>
      <c r="N37" s="17">
        <v>0.29229093719355137</v>
      </c>
      <c r="O37" s="18">
        <v>76.597609807411303</v>
      </c>
      <c r="P37" s="17">
        <v>0.21063140868640629</v>
      </c>
      <c r="Q37" s="18">
        <v>19565.14</v>
      </c>
      <c r="R37" s="17">
        <v>1.0750469043151969</v>
      </c>
      <c r="S37" s="15">
        <v>6.0199999999999997E-2</v>
      </c>
      <c r="T37" s="15">
        <v>7.1999999999999995E-2</v>
      </c>
      <c r="U37" s="18">
        <v>35</v>
      </c>
    </row>
    <row r="38" spans="1:21" x14ac:dyDescent="0.3">
      <c r="A38">
        <v>2008</v>
      </c>
      <c r="B38" s="10" t="s">
        <v>18</v>
      </c>
      <c r="C38" s="11">
        <v>391972</v>
      </c>
      <c r="D38" s="2">
        <v>29454382</v>
      </c>
      <c r="E38" s="2">
        <v>140122671</v>
      </c>
      <c r="F38" s="2">
        <v>230072810</v>
      </c>
      <c r="G38" s="5" t="s">
        <v>22</v>
      </c>
      <c r="H38" s="5"/>
      <c r="I38" s="15">
        <v>6.5299999999999997E-2</v>
      </c>
      <c r="J38" s="15">
        <v>0.25080000000000002</v>
      </c>
      <c r="K38" s="16">
        <v>13.67</v>
      </c>
      <c r="L38" s="17">
        <v>0.19661488198550628</v>
      </c>
      <c r="M38" s="18">
        <v>62.672157780647197</v>
      </c>
      <c r="N38" s="17">
        <v>0.18224640903773337</v>
      </c>
      <c r="O38" s="18">
        <v>62.514737178080502</v>
      </c>
      <c r="P38" s="17">
        <v>0.37288166454657712</v>
      </c>
      <c r="Q38" s="18">
        <v>19565.14</v>
      </c>
      <c r="R38" s="17">
        <v>1.0750469043151969</v>
      </c>
      <c r="S38" s="15">
        <v>6.0199999999999997E-2</v>
      </c>
      <c r="T38" s="15">
        <v>7.1999999999999995E-2</v>
      </c>
      <c r="U38" s="18">
        <v>35</v>
      </c>
    </row>
    <row r="39" spans="1:21" s="1" customFormat="1" x14ac:dyDescent="0.3">
      <c r="A39" s="1">
        <v>2008</v>
      </c>
      <c r="B39" s="12" t="s">
        <v>19</v>
      </c>
      <c r="C39" s="13">
        <v>493291</v>
      </c>
      <c r="D39" s="3">
        <v>22020469</v>
      </c>
      <c r="E39" s="3">
        <v>83106177</v>
      </c>
      <c r="F39" s="3">
        <v>152393770</v>
      </c>
      <c r="G39" s="5" t="s">
        <v>22</v>
      </c>
      <c r="H39" s="5"/>
      <c r="I39" s="15">
        <v>6.5299999999999997E-2</v>
      </c>
      <c r="J39" s="15">
        <v>0.25080000000000002</v>
      </c>
      <c r="K39" s="16">
        <v>13.67</v>
      </c>
      <c r="L39" s="17">
        <v>0.19661488198550628</v>
      </c>
      <c r="M39" s="19">
        <v>69.960055759391906</v>
      </c>
      <c r="N39" s="17">
        <v>0.23850249665651124</v>
      </c>
      <c r="O39" s="19">
        <v>76.200943340565303</v>
      </c>
      <c r="P39" s="17">
        <v>0.19144165618319908</v>
      </c>
      <c r="Q39" s="18">
        <v>19565.14</v>
      </c>
      <c r="R39" s="17">
        <v>1.0750469043151969</v>
      </c>
      <c r="S39" s="15">
        <v>6.0199999999999997E-2</v>
      </c>
      <c r="T39" s="15">
        <v>7.1999999999999995E-2</v>
      </c>
      <c r="U39" s="18">
        <v>35</v>
      </c>
    </row>
    <row r="40" spans="1:21" x14ac:dyDescent="0.3">
      <c r="A40">
        <v>2013</v>
      </c>
      <c r="B40" s="10" t="s">
        <v>2</v>
      </c>
      <c r="C40" s="11">
        <v>20369</v>
      </c>
      <c r="D40" s="2">
        <v>2672482</v>
      </c>
      <c r="E40" s="2">
        <v>18109834</v>
      </c>
      <c r="F40" s="2">
        <v>9216340</v>
      </c>
      <c r="G40" s="5">
        <v>73.968363403148899</v>
      </c>
      <c r="H40" s="7">
        <f t="shared" si="0"/>
        <v>0.23798561075399657</v>
      </c>
      <c r="I40" s="15">
        <v>3.9699999999999999E-2</v>
      </c>
      <c r="J40" s="15">
        <v>0.2089</v>
      </c>
      <c r="K40" s="16">
        <v>13.04</v>
      </c>
      <c r="L40" s="17">
        <v>-4.7182094237351327E-2</v>
      </c>
      <c r="M40" s="18">
        <v>73.600943943258599</v>
      </c>
      <c r="N40" s="17">
        <v>0.23371436792005951</v>
      </c>
      <c r="O40" s="18">
        <v>80.102318759678496</v>
      </c>
      <c r="P40" s="17">
        <v>0.31363514906055712</v>
      </c>
      <c r="Q40" s="18">
        <v>40879.75</v>
      </c>
      <c r="R40" s="17">
        <v>1.0894177092522721</v>
      </c>
      <c r="S40" s="15">
        <v>2.64E-2</v>
      </c>
      <c r="T40" s="15">
        <v>3.5099999999999999E-2</v>
      </c>
      <c r="U40" s="18">
        <v>37.4</v>
      </c>
    </row>
    <row r="41" spans="1:21" x14ac:dyDescent="0.3">
      <c r="A41">
        <v>2013</v>
      </c>
      <c r="B41" s="10" t="s">
        <v>3</v>
      </c>
      <c r="C41" s="11">
        <v>2898</v>
      </c>
      <c r="D41" s="2">
        <v>2398898</v>
      </c>
      <c r="E41" s="2">
        <v>36524163</v>
      </c>
      <c r="F41" s="2">
        <v>13496680</v>
      </c>
      <c r="G41" s="5">
        <v>82.815211542023903</v>
      </c>
      <c r="H41" s="7">
        <f t="shared" si="0"/>
        <v>0.42333689832510085</v>
      </c>
      <c r="I41" s="15">
        <v>3.9699999999999999E-2</v>
      </c>
      <c r="J41" s="15">
        <v>0.2089</v>
      </c>
      <c r="K41" s="16">
        <v>13.04</v>
      </c>
      <c r="L41" s="17">
        <v>-4.7182094237351327E-2</v>
      </c>
      <c r="M41" s="18">
        <v>94.230185764087494</v>
      </c>
      <c r="N41" s="17">
        <v>8.7411510038379436E-2</v>
      </c>
      <c r="O41" s="18">
        <v>78.991991603809595</v>
      </c>
      <c r="P41" s="17">
        <v>0.30848028135989458</v>
      </c>
      <c r="Q41" s="18">
        <v>40879.75</v>
      </c>
      <c r="R41" s="17">
        <v>1.0894177092522721</v>
      </c>
      <c r="S41" s="15">
        <v>2.64E-2</v>
      </c>
      <c r="T41" s="15">
        <v>3.5099999999999999E-2</v>
      </c>
      <c r="U41" s="18">
        <v>37.4</v>
      </c>
    </row>
    <row r="42" spans="1:21" x14ac:dyDescent="0.3">
      <c r="A42">
        <v>2013</v>
      </c>
      <c r="B42" s="10" t="s">
        <v>4</v>
      </c>
      <c r="C42" s="11">
        <v>2633</v>
      </c>
      <c r="D42" s="2">
        <v>3591567</v>
      </c>
      <c r="E42" s="2">
        <v>62606018</v>
      </c>
      <c r="F42" s="2">
        <v>36412093</v>
      </c>
      <c r="G42" s="5">
        <v>84.576544471578501</v>
      </c>
      <c r="H42" s="7">
        <f t="shared" si="0"/>
        <v>6.8739862491003792E-2</v>
      </c>
      <c r="I42" s="15">
        <v>3.9699999999999999E-2</v>
      </c>
      <c r="J42" s="15">
        <v>0.2089</v>
      </c>
      <c r="K42" s="16">
        <v>13.04</v>
      </c>
      <c r="L42" s="17">
        <v>-4.7182094237351327E-2</v>
      </c>
      <c r="M42" s="18">
        <v>58.390391864917397</v>
      </c>
      <c r="N42" s="17">
        <v>-8.4342747329380074E-2</v>
      </c>
      <c r="O42" s="18">
        <v>78.338667446450401</v>
      </c>
      <c r="P42" s="17">
        <v>0.30645396695737914</v>
      </c>
      <c r="Q42" s="18">
        <v>40879.75</v>
      </c>
      <c r="R42" s="17">
        <v>1.0894177092522721</v>
      </c>
      <c r="S42" s="15">
        <v>2.64E-2</v>
      </c>
      <c r="T42" s="15">
        <v>3.5099999999999999E-2</v>
      </c>
      <c r="U42" s="18">
        <v>37.4</v>
      </c>
    </row>
    <row r="43" spans="1:21" x14ac:dyDescent="0.3">
      <c r="A43">
        <v>2013</v>
      </c>
      <c r="B43" s="10" t="s">
        <v>5</v>
      </c>
      <c r="C43" s="11">
        <v>16772</v>
      </c>
      <c r="D43" s="2">
        <v>22012745</v>
      </c>
      <c r="E43" s="2">
        <v>198162218</v>
      </c>
      <c r="F43" s="2">
        <v>136251942</v>
      </c>
      <c r="G43" s="5">
        <v>70.259753560969202</v>
      </c>
      <c r="H43" s="7">
        <f t="shared" si="0"/>
        <v>0.11461266461069387</v>
      </c>
      <c r="I43" s="15">
        <v>3.9699999999999999E-2</v>
      </c>
      <c r="J43" s="15">
        <v>0.2089</v>
      </c>
      <c r="K43" s="16">
        <v>13.04</v>
      </c>
      <c r="L43" s="17">
        <v>-4.7182094237351327E-2</v>
      </c>
      <c r="M43" s="18">
        <v>73.220008451034701</v>
      </c>
      <c r="N43" s="17">
        <v>0.1832109771677235</v>
      </c>
      <c r="O43" s="18">
        <v>83.770058296772604</v>
      </c>
      <c r="P43" s="17">
        <v>0.20888073534139506</v>
      </c>
      <c r="Q43" s="18">
        <v>40879.75</v>
      </c>
      <c r="R43" s="17">
        <v>1.0894177092522721</v>
      </c>
      <c r="S43" s="15">
        <v>2.64E-2</v>
      </c>
      <c r="T43" s="15">
        <v>3.5099999999999999E-2</v>
      </c>
      <c r="U43" s="18">
        <v>37.4</v>
      </c>
    </row>
    <row r="44" spans="1:21" x14ac:dyDescent="0.3">
      <c r="A44">
        <v>2013</v>
      </c>
      <c r="B44" s="10" t="s">
        <v>6</v>
      </c>
      <c r="C44" s="11">
        <v>485982</v>
      </c>
      <c r="D44" s="2">
        <v>129220328.00000001</v>
      </c>
      <c r="E44" s="2">
        <v>1575159011</v>
      </c>
      <c r="F44" s="2">
        <v>1154901561</v>
      </c>
      <c r="G44" s="5">
        <v>74.285009918638494</v>
      </c>
      <c r="H44" s="7">
        <f t="shared" si="0"/>
        <v>0.18674407231138332</v>
      </c>
      <c r="I44" s="15">
        <v>3.9699999999999999E-2</v>
      </c>
      <c r="J44" s="15">
        <v>0.2089</v>
      </c>
      <c r="K44" s="16">
        <v>13.04</v>
      </c>
      <c r="L44" s="17">
        <v>-4.7182094237351327E-2</v>
      </c>
      <c r="M44" s="18">
        <v>70.937258021391997</v>
      </c>
      <c r="N44" s="17">
        <v>0.25832984914448676</v>
      </c>
      <c r="O44" s="18">
        <v>83.770058296772604</v>
      </c>
      <c r="P44" s="17">
        <v>0.20888073534139506</v>
      </c>
      <c r="Q44" s="18">
        <v>40879.75</v>
      </c>
      <c r="R44" s="17">
        <v>1.0894177092522721</v>
      </c>
      <c r="S44" s="15">
        <v>2.64E-2</v>
      </c>
      <c r="T44" s="15">
        <v>3.5099999999999999E-2</v>
      </c>
      <c r="U44" s="18">
        <v>37.4</v>
      </c>
    </row>
    <row r="45" spans="1:21" x14ac:dyDescent="0.3">
      <c r="A45">
        <v>2013</v>
      </c>
      <c r="B45" s="10" t="s">
        <v>7</v>
      </c>
      <c r="C45" s="11">
        <v>129943</v>
      </c>
      <c r="D45" s="2">
        <v>83368462</v>
      </c>
      <c r="E45" s="2">
        <v>558431733</v>
      </c>
      <c r="F45" s="2">
        <v>228319407</v>
      </c>
      <c r="G45" s="5">
        <v>83.770058000000006</v>
      </c>
      <c r="H45" s="7">
        <f t="shared" si="0"/>
        <v>0.18969492110570271</v>
      </c>
      <c r="I45" s="15">
        <v>3.9699999999999999E-2</v>
      </c>
      <c r="J45" s="15">
        <v>0.2089</v>
      </c>
      <c r="K45" s="16">
        <v>13.04</v>
      </c>
      <c r="L45" s="17">
        <v>-4.7182094237351327E-2</v>
      </c>
      <c r="M45" s="18">
        <v>75.996849059304694</v>
      </c>
      <c r="N45" s="17">
        <v>0.24016875849642472</v>
      </c>
      <c r="O45" s="18">
        <v>83.166713316093507</v>
      </c>
      <c r="P45" s="17">
        <v>0.22554018959234945</v>
      </c>
      <c r="Q45" s="18">
        <v>40879.75</v>
      </c>
      <c r="R45" s="17">
        <v>1.0894177092522721</v>
      </c>
      <c r="S45" s="15">
        <v>2.64E-2</v>
      </c>
      <c r="T45" s="15">
        <v>3.5099999999999999E-2</v>
      </c>
      <c r="U45" s="18">
        <v>37.4</v>
      </c>
    </row>
    <row r="46" spans="1:21" x14ac:dyDescent="0.3">
      <c r="A46">
        <v>2013</v>
      </c>
      <c r="B46" s="10" t="s">
        <v>8</v>
      </c>
      <c r="C46" s="11">
        <v>1911857</v>
      </c>
      <c r="D46" s="2">
        <v>95626011.999999985</v>
      </c>
      <c r="E46" s="2">
        <v>803456003.99999988</v>
      </c>
      <c r="F46" s="2">
        <v>292575926.99999994</v>
      </c>
      <c r="G46" s="5">
        <v>83.770058000000006</v>
      </c>
      <c r="H46" s="7">
        <f t="shared" si="0"/>
        <v>0.18969492110570271</v>
      </c>
      <c r="I46" s="15">
        <v>3.9699999999999999E-2</v>
      </c>
      <c r="J46" s="15">
        <v>0.2089</v>
      </c>
      <c r="K46" s="16">
        <v>13.04</v>
      </c>
      <c r="L46" s="17">
        <v>-4.7182094237351327E-2</v>
      </c>
      <c r="M46" s="18">
        <v>74.6167787817039</v>
      </c>
      <c r="N46" s="17">
        <v>0.25110931733092023</v>
      </c>
      <c r="O46" s="18">
        <v>83.166713316093507</v>
      </c>
      <c r="P46" s="17">
        <v>0.22554018959234945</v>
      </c>
      <c r="Q46" s="18">
        <v>40879.75</v>
      </c>
      <c r="R46" s="17">
        <v>1.0894177092522721</v>
      </c>
      <c r="S46" s="15">
        <v>2.64E-2</v>
      </c>
      <c r="T46" s="15">
        <v>3.5099999999999999E-2</v>
      </c>
      <c r="U46" s="18">
        <v>37.4</v>
      </c>
    </row>
    <row r="47" spans="1:21" x14ac:dyDescent="0.3">
      <c r="A47">
        <v>2013</v>
      </c>
      <c r="B47" s="10" t="s">
        <v>20</v>
      </c>
      <c r="C47" s="11">
        <v>17522</v>
      </c>
      <c r="D47" s="2">
        <v>30366991</v>
      </c>
      <c r="E47" s="2">
        <v>216605649</v>
      </c>
      <c r="F47" s="2">
        <v>128120971</v>
      </c>
      <c r="G47" s="5">
        <v>79.778940849476498</v>
      </c>
      <c r="H47" s="7">
        <f t="shared" si="0"/>
        <v>0.25146643863585094</v>
      </c>
      <c r="I47" s="15">
        <v>3.9699999999999999E-2</v>
      </c>
      <c r="J47" s="15">
        <v>0.2089</v>
      </c>
      <c r="K47" s="16">
        <v>13.04</v>
      </c>
      <c r="L47" s="17">
        <v>-4.7182094237351327E-2</v>
      </c>
      <c r="M47" s="18">
        <v>82.333300214122005</v>
      </c>
      <c r="N47" s="17">
        <v>0.28950227811660012</v>
      </c>
      <c r="O47" s="18">
        <v>76.365362585857994</v>
      </c>
      <c r="P47" s="17">
        <v>0.32230870116013577</v>
      </c>
      <c r="Q47" s="18">
        <v>40879.75</v>
      </c>
      <c r="R47" s="17">
        <v>1.0894177092522721</v>
      </c>
      <c r="S47" s="15">
        <v>2.64E-2</v>
      </c>
      <c r="T47" s="15">
        <v>3.5099999999999999E-2</v>
      </c>
      <c r="U47" s="18">
        <v>37.4</v>
      </c>
    </row>
    <row r="48" spans="1:21" x14ac:dyDescent="0.3">
      <c r="A48">
        <v>2013</v>
      </c>
      <c r="B48" s="10" t="s">
        <v>9</v>
      </c>
      <c r="C48" s="11">
        <v>9215</v>
      </c>
      <c r="D48" s="2">
        <v>9537679</v>
      </c>
      <c r="E48" s="2">
        <v>89960492</v>
      </c>
      <c r="F48" s="2">
        <v>46921528</v>
      </c>
      <c r="G48" s="5">
        <v>114.67677966426101</v>
      </c>
      <c r="H48" s="7"/>
      <c r="I48" s="15">
        <v>3.9699999999999999E-2</v>
      </c>
      <c r="J48" s="15">
        <v>0.2089</v>
      </c>
      <c r="K48" s="16">
        <v>13.04</v>
      </c>
      <c r="L48" s="17">
        <v>-4.7182094237351327E-2</v>
      </c>
      <c r="M48" s="18">
        <v>150.593389111595</v>
      </c>
      <c r="N48" s="17">
        <v>-7.9491105564595155E-2</v>
      </c>
      <c r="O48" s="18">
        <v>87.396865559426303</v>
      </c>
      <c r="P48" s="17">
        <v>0.14098685036213898</v>
      </c>
      <c r="Q48" s="18">
        <v>40879.75</v>
      </c>
      <c r="R48" s="17">
        <v>1.0894177092522721</v>
      </c>
      <c r="S48" s="15">
        <v>2.64E-2</v>
      </c>
      <c r="T48" s="15">
        <v>3.5099999999999999E-2</v>
      </c>
      <c r="U48" s="18">
        <v>37.4</v>
      </c>
    </row>
    <row r="49" spans="1:21" x14ac:dyDescent="0.3">
      <c r="A49">
        <v>2013</v>
      </c>
      <c r="B49" s="10" t="s">
        <v>10</v>
      </c>
      <c r="C49" s="11">
        <v>23648</v>
      </c>
      <c r="D49" s="2">
        <v>12212471.000000002</v>
      </c>
      <c r="E49" s="2">
        <v>167986205</v>
      </c>
      <c r="F49" s="2">
        <v>56849610</v>
      </c>
      <c r="G49" s="5">
        <v>83.861827158288705</v>
      </c>
      <c r="H49" s="7"/>
      <c r="I49" s="15">
        <v>3.9699999999999999E-2</v>
      </c>
      <c r="J49" s="15">
        <v>0.2089</v>
      </c>
      <c r="K49" s="16">
        <v>13.04</v>
      </c>
      <c r="L49" s="17">
        <v>-4.7182094237351327E-2</v>
      </c>
      <c r="M49" s="18">
        <v>90.191546571788095</v>
      </c>
      <c r="N49" s="17">
        <v>-0.14919147527094812</v>
      </c>
      <c r="O49" s="18">
        <v>87.396865559426303</v>
      </c>
      <c r="P49" s="17">
        <v>0.14098685036213898</v>
      </c>
      <c r="Q49" s="18">
        <v>40879.75</v>
      </c>
      <c r="R49" s="17">
        <v>1.0894177092522721</v>
      </c>
      <c r="S49" s="15">
        <v>2.64E-2</v>
      </c>
      <c r="T49" s="15">
        <v>3.5099999999999999E-2</v>
      </c>
      <c r="U49" s="18">
        <v>37.4</v>
      </c>
    </row>
    <row r="50" spans="1:21" x14ac:dyDescent="0.3">
      <c r="A50">
        <v>2013</v>
      </c>
      <c r="B50" s="10" t="s">
        <v>11</v>
      </c>
      <c r="C50" s="11">
        <v>62771</v>
      </c>
      <c r="D50" s="2">
        <v>8352904.9999999991</v>
      </c>
      <c r="E50" s="2">
        <v>80059534.999999985</v>
      </c>
      <c r="F50" s="2">
        <v>42929159.999999993</v>
      </c>
      <c r="G50" s="5">
        <v>87.627539033056905</v>
      </c>
      <c r="H50" s="7"/>
      <c r="I50" s="15">
        <v>3.9699999999999999E-2</v>
      </c>
      <c r="J50" s="15">
        <v>0.2089</v>
      </c>
      <c r="K50" s="16">
        <v>13.04</v>
      </c>
      <c r="L50" s="17">
        <v>-4.7182094237351327E-2</v>
      </c>
      <c r="M50" s="18">
        <v>89.699661499401401</v>
      </c>
      <c r="N50" s="17">
        <v>0.14823844994166246</v>
      </c>
      <c r="O50" s="18">
        <v>89.772890713882106</v>
      </c>
      <c r="P50" s="17">
        <v>0.12116159653091962</v>
      </c>
      <c r="Q50" s="18">
        <v>40879.75</v>
      </c>
      <c r="R50" s="17">
        <v>1.0894177092522721</v>
      </c>
      <c r="S50" s="15">
        <v>2.64E-2</v>
      </c>
      <c r="T50" s="15">
        <v>3.5099999999999999E-2</v>
      </c>
      <c r="U50" s="18">
        <v>37.4</v>
      </c>
    </row>
    <row r="51" spans="1:21" x14ac:dyDescent="0.3">
      <c r="A51">
        <v>2013</v>
      </c>
      <c r="B51" s="10" t="s">
        <v>12</v>
      </c>
      <c r="C51" s="11">
        <v>89090</v>
      </c>
      <c r="D51" s="2">
        <v>23166538</v>
      </c>
      <c r="E51" s="2">
        <v>116292944.99999999</v>
      </c>
      <c r="F51" s="2">
        <v>61758610</v>
      </c>
      <c r="G51" s="5">
        <v>82.252939532873199</v>
      </c>
      <c r="H51" s="7"/>
      <c r="I51" s="15">
        <v>3.9699999999999999E-2</v>
      </c>
      <c r="J51" s="15">
        <v>0.2089</v>
      </c>
      <c r="K51" s="16">
        <v>13.04</v>
      </c>
      <c r="L51" s="17">
        <v>-4.7182094237351327E-2</v>
      </c>
      <c r="M51" s="18">
        <v>81.678342080054307</v>
      </c>
      <c r="N51" s="17">
        <v>0.16505805369681648</v>
      </c>
      <c r="O51" s="18">
        <v>87.396865559426303</v>
      </c>
      <c r="P51" s="17">
        <v>0.14098685036213898</v>
      </c>
      <c r="Q51" s="18">
        <v>40879.75</v>
      </c>
      <c r="R51" s="17">
        <v>1.0894177092522721</v>
      </c>
      <c r="S51" s="15">
        <v>2.64E-2</v>
      </c>
      <c r="T51" s="15">
        <v>3.5099999999999999E-2</v>
      </c>
      <c r="U51" s="18">
        <v>37.4</v>
      </c>
    </row>
    <row r="52" spans="1:21" x14ac:dyDescent="0.3">
      <c r="A52">
        <v>2013</v>
      </c>
      <c r="B52" s="10" t="s">
        <v>13</v>
      </c>
      <c r="C52" s="11">
        <v>332</v>
      </c>
      <c r="D52" s="2">
        <v>2011230.9999999998</v>
      </c>
      <c r="E52" s="2">
        <v>269995902</v>
      </c>
      <c r="F52" s="2">
        <v>69984140</v>
      </c>
      <c r="G52" s="5">
        <v>83.861827158288705</v>
      </c>
      <c r="H52" s="7"/>
      <c r="I52" s="15">
        <v>3.9699999999999999E-2</v>
      </c>
      <c r="J52" s="15">
        <v>0.2089</v>
      </c>
      <c r="K52" s="16">
        <v>13.04</v>
      </c>
      <c r="L52" s="17">
        <v>-4.7182094237351327E-2</v>
      </c>
      <c r="M52" s="18">
        <v>79.580444703949695</v>
      </c>
      <c r="N52" s="17">
        <v>0.13167398621757442</v>
      </c>
      <c r="O52" s="18">
        <v>87.396865559426303</v>
      </c>
      <c r="P52" s="17">
        <v>0.14098685036213898</v>
      </c>
      <c r="Q52" s="18">
        <v>40879.75</v>
      </c>
      <c r="R52" s="17">
        <v>1.0894177092522721</v>
      </c>
      <c r="S52" s="15">
        <v>2.64E-2</v>
      </c>
      <c r="T52" s="15">
        <v>3.5099999999999999E-2</v>
      </c>
      <c r="U52" s="18">
        <v>37.4</v>
      </c>
    </row>
    <row r="53" spans="1:21" x14ac:dyDescent="0.3">
      <c r="A53">
        <v>2013</v>
      </c>
      <c r="B53" s="10" t="s">
        <v>14</v>
      </c>
      <c r="C53" s="11">
        <v>90528</v>
      </c>
      <c r="D53" s="2">
        <v>33212475</v>
      </c>
      <c r="E53" s="2">
        <v>129014117</v>
      </c>
      <c r="F53" s="2">
        <v>62136032.999999993</v>
      </c>
      <c r="G53" s="5">
        <v>82.260178679556901</v>
      </c>
      <c r="H53" s="7"/>
      <c r="I53" s="15">
        <v>3.9699999999999999E-2</v>
      </c>
      <c r="J53" s="15">
        <v>0.2089</v>
      </c>
      <c r="K53" s="16">
        <v>13.04</v>
      </c>
      <c r="L53" s="17">
        <v>-4.7182094237351327E-2</v>
      </c>
      <c r="M53" s="18">
        <v>84.110897060139195</v>
      </c>
      <c r="N53" s="17">
        <v>0.19930717221038186</v>
      </c>
      <c r="O53" s="18">
        <v>87.396865559426303</v>
      </c>
      <c r="P53" s="17">
        <v>0.14098685036213898</v>
      </c>
      <c r="Q53" s="18">
        <v>40879.75</v>
      </c>
      <c r="R53" s="17">
        <v>1.0894177092522721</v>
      </c>
      <c r="S53" s="15">
        <v>2.64E-2</v>
      </c>
      <c r="T53" s="15">
        <v>3.5099999999999999E-2</v>
      </c>
      <c r="U53" s="18">
        <v>37.4</v>
      </c>
    </row>
    <row r="54" spans="1:21" x14ac:dyDescent="0.3">
      <c r="A54">
        <v>2013</v>
      </c>
      <c r="B54" s="10" t="s">
        <v>15</v>
      </c>
      <c r="C54" s="11">
        <v>46603</v>
      </c>
      <c r="D54" s="2">
        <v>32269155.000000004</v>
      </c>
      <c r="E54" s="2">
        <v>96779795.000000015</v>
      </c>
      <c r="F54" s="2">
        <v>37151884</v>
      </c>
      <c r="G54" s="5">
        <v>79.098128560797704</v>
      </c>
      <c r="H54" s="7"/>
      <c r="I54" s="15">
        <v>3.9699999999999999E-2</v>
      </c>
      <c r="J54" s="15">
        <v>0.2089</v>
      </c>
      <c r="K54" s="16">
        <v>13.04</v>
      </c>
      <c r="L54" s="17">
        <v>-4.7182094237351327E-2</v>
      </c>
      <c r="M54" s="18">
        <v>79.399601005624405</v>
      </c>
      <c r="N54" s="17">
        <v>0.33868883987355658</v>
      </c>
      <c r="O54" s="18">
        <v>83.247152985018701</v>
      </c>
      <c r="P54" s="17">
        <v>0.23852484729791468</v>
      </c>
      <c r="Q54" s="18">
        <v>40879.75</v>
      </c>
      <c r="R54" s="17">
        <v>1.0894177092522721</v>
      </c>
      <c r="S54" s="15">
        <v>2.64E-2</v>
      </c>
      <c r="T54" s="15">
        <v>3.5099999999999999E-2</v>
      </c>
      <c r="U54" s="18">
        <v>37.4</v>
      </c>
    </row>
    <row r="55" spans="1:21" x14ac:dyDescent="0.3">
      <c r="A55">
        <v>2013</v>
      </c>
      <c r="B55" s="10" t="s">
        <v>16</v>
      </c>
      <c r="C55" s="11">
        <v>170826</v>
      </c>
      <c r="D55" s="2">
        <v>16304920.999999998</v>
      </c>
      <c r="E55" s="2">
        <v>78488566</v>
      </c>
      <c r="F55" s="2">
        <v>39369512</v>
      </c>
      <c r="G55" s="5">
        <v>79.097430220290605</v>
      </c>
      <c r="H55" s="7"/>
      <c r="I55" s="15">
        <v>3.9699999999999999E-2</v>
      </c>
      <c r="J55" s="15">
        <v>0.2089</v>
      </c>
      <c r="K55" s="16">
        <v>13.04</v>
      </c>
      <c r="L55" s="17">
        <v>-4.7182094237351327E-2</v>
      </c>
      <c r="M55" s="18">
        <v>74.795272483546697</v>
      </c>
      <c r="N55" s="17">
        <v>0.36026907842368439</v>
      </c>
      <c r="O55" s="18">
        <v>87.396865559426303</v>
      </c>
      <c r="P55" s="17">
        <v>0.14098685036213898</v>
      </c>
      <c r="Q55" s="18">
        <v>40879.75</v>
      </c>
      <c r="R55" s="17">
        <v>1.0894177092522721</v>
      </c>
      <c r="S55" s="15">
        <v>2.64E-2</v>
      </c>
      <c r="T55" s="15">
        <v>3.5099999999999999E-2</v>
      </c>
      <c r="U55" s="18">
        <v>37.4</v>
      </c>
    </row>
    <row r="56" spans="1:21" x14ac:dyDescent="0.3">
      <c r="A56">
        <v>2013</v>
      </c>
      <c r="B56" s="10" t="s">
        <v>17</v>
      </c>
      <c r="C56" s="11">
        <v>50317</v>
      </c>
      <c r="D56" s="2">
        <v>7086601.0000000009</v>
      </c>
      <c r="E56" s="2">
        <v>45930490</v>
      </c>
      <c r="F56" s="2">
        <v>27501036</v>
      </c>
      <c r="G56" s="5">
        <v>78.128864178318096</v>
      </c>
      <c r="H56" s="7"/>
      <c r="I56" s="15">
        <v>3.9699999999999999E-2</v>
      </c>
      <c r="J56" s="15">
        <v>0.2089</v>
      </c>
      <c r="K56" s="16">
        <v>13.04</v>
      </c>
      <c r="L56" s="17">
        <v>-4.7182094237351327E-2</v>
      </c>
      <c r="M56" s="18">
        <v>84.825042412694003</v>
      </c>
      <c r="N56" s="17">
        <v>0.20573906606521675</v>
      </c>
      <c r="O56" s="18">
        <v>87.396865559426303</v>
      </c>
      <c r="P56" s="17">
        <v>0.14098685036213898</v>
      </c>
      <c r="Q56" s="18">
        <v>40879.75</v>
      </c>
      <c r="R56" s="17">
        <v>1.0894177092522721</v>
      </c>
      <c r="S56" s="15">
        <v>2.64E-2</v>
      </c>
      <c r="T56" s="15">
        <v>3.5099999999999999E-2</v>
      </c>
      <c r="U56" s="18">
        <v>37.4</v>
      </c>
    </row>
    <row r="57" spans="1:21" x14ac:dyDescent="0.3">
      <c r="A57">
        <v>2013</v>
      </c>
      <c r="B57" s="10" t="s">
        <v>18</v>
      </c>
      <c r="C57" s="11">
        <v>501138</v>
      </c>
      <c r="D57" s="2">
        <v>36953093.000000007</v>
      </c>
      <c r="E57" s="2">
        <v>304778108</v>
      </c>
      <c r="F57" s="2">
        <v>188401478.99999997</v>
      </c>
      <c r="G57" s="5">
        <v>77.864459511398493</v>
      </c>
      <c r="H57" s="7"/>
      <c r="I57" s="15">
        <v>3.9699999999999999E-2</v>
      </c>
      <c r="J57" s="15">
        <v>0.2089</v>
      </c>
      <c r="K57" s="16">
        <v>13.04</v>
      </c>
      <c r="L57" s="17">
        <v>-4.7182094237351327E-2</v>
      </c>
      <c r="M57" s="18">
        <v>78.065368320526403</v>
      </c>
      <c r="N57" s="17">
        <v>0.24561481661051943</v>
      </c>
      <c r="O57" s="18">
        <v>80.645029949634903</v>
      </c>
      <c r="P57" s="17">
        <v>0.29001629999512191</v>
      </c>
      <c r="Q57" s="18">
        <v>40879.75</v>
      </c>
      <c r="R57" s="17">
        <v>1.0894177092522721</v>
      </c>
      <c r="S57" s="15">
        <v>2.64E-2</v>
      </c>
      <c r="T57" s="15">
        <v>3.5099999999999999E-2</v>
      </c>
      <c r="U57" s="18">
        <v>37.4</v>
      </c>
    </row>
    <row r="58" spans="1:21" s="1" customFormat="1" x14ac:dyDescent="0.3">
      <c r="A58" s="1">
        <v>2013</v>
      </c>
      <c r="B58" s="12" t="s">
        <v>19</v>
      </c>
      <c r="C58" s="13">
        <v>590526</v>
      </c>
      <c r="D58" s="3">
        <v>25561293</v>
      </c>
      <c r="E58" s="3">
        <v>178929859.00000003</v>
      </c>
      <c r="F58" s="3">
        <v>86609487.000000015</v>
      </c>
      <c r="G58" s="6">
        <v>83.861827158288705</v>
      </c>
      <c r="H58" s="7"/>
      <c r="I58" s="15">
        <v>3.9699999999999999E-2</v>
      </c>
      <c r="J58" s="15">
        <v>0.2089</v>
      </c>
      <c r="K58" s="16">
        <v>13.04</v>
      </c>
      <c r="L58" s="17">
        <v>-4.7182094237351327E-2</v>
      </c>
      <c r="M58" s="18">
        <v>83.447575839238496</v>
      </c>
      <c r="N58" s="17">
        <v>0.19278886978353982</v>
      </c>
      <c r="O58" s="19">
        <v>86.245995101664803</v>
      </c>
      <c r="P58" s="17">
        <v>0.13182319431670408</v>
      </c>
      <c r="Q58" s="18">
        <v>40879.75</v>
      </c>
      <c r="R58" s="17">
        <v>1.0894177092522721</v>
      </c>
      <c r="S58" s="15">
        <v>2.64E-2</v>
      </c>
      <c r="T58" s="15">
        <v>3.5099999999999999E-2</v>
      </c>
      <c r="U58" s="18">
        <v>37.4</v>
      </c>
    </row>
    <row r="59" spans="1:21" x14ac:dyDescent="0.3">
      <c r="A59">
        <v>2018</v>
      </c>
      <c r="B59" s="10" t="s">
        <v>2</v>
      </c>
      <c r="C59" s="11">
        <v>24319</v>
      </c>
      <c r="D59" s="2">
        <v>4758129</v>
      </c>
      <c r="E59" s="2">
        <v>37401569</v>
      </c>
      <c r="F59" s="2">
        <v>20750082.000000004</v>
      </c>
      <c r="G59" s="5">
        <v>96.355754454173805</v>
      </c>
      <c r="H59" s="7">
        <f t="shared" si="0"/>
        <v>0.26440963735070111</v>
      </c>
      <c r="I59" s="15">
        <v>4.8300000000000003E-2</v>
      </c>
      <c r="J59" s="15">
        <v>0.2298</v>
      </c>
      <c r="K59" s="16">
        <v>19.64</v>
      </c>
      <c r="L59" s="17">
        <v>0.40954674642781308</v>
      </c>
      <c r="M59" s="18">
        <v>99.9999998745444</v>
      </c>
      <c r="N59" s="17">
        <v>0.35867822499175706</v>
      </c>
      <c r="O59" s="18">
        <v>108.30488217289999</v>
      </c>
      <c r="P59" s="17">
        <v>0.35208173558413836</v>
      </c>
      <c r="Q59" s="18">
        <v>43987.94</v>
      </c>
      <c r="R59" s="17">
        <v>7.6032509983549268E-2</v>
      </c>
      <c r="S59" s="15">
        <v>5.5500000000000001E-2</v>
      </c>
      <c r="T59" s="15">
        <v>7.0499999999999993E-2</v>
      </c>
      <c r="U59" s="18">
        <v>44.9</v>
      </c>
    </row>
    <row r="60" spans="1:21" x14ac:dyDescent="0.3">
      <c r="A60">
        <v>2018</v>
      </c>
      <c r="B60" s="10" t="s">
        <v>3</v>
      </c>
      <c r="C60" s="11">
        <v>2976</v>
      </c>
      <c r="D60" s="2">
        <v>4083691.0000000009</v>
      </c>
      <c r="E60" s="2">
        <v>41682647</v>
      </c>
      <c r="F60" s="2">
        <v>23498242</v>
      </c>
      <c r="G60" s="5">
        <v>104.76546559571304</v>
      </c>
      <c r="H60" s="7">
        <f t="shared" si="0"/>
        <v>0.23511243202914164</v>
      </c>
      <c r="I60" s="15">
        <v>4.8300000000000003E-2</v>
      </c>
      <c r="J60" s="15">
        <v>0.2298</v>
      </c>
      <c r="K60" s="16">
        <v>19.64</v>
      </c>
      <c r="L60" s="17">
        <v>0.40954674642781308</v>
      </c>
      <c r="M60" s="18">
        <v>100</v>
      </c>
      <c r="N60" s="17">
        <v>6.1231060823308647E-2</v>
      </c>
      <c r="O60" s="18">
        <v>107.4642850625</v>
      </c>
      <c r="P60" s="17">
        <v>0.36044531705815674</v>
      </c>
      <c r="Q60" s="18">
        <v>43987.94</v>
      </c>
      <c r="R60" s="17">
        <v>7.6032509983549268E-2</v>
      </c>
      <c r="S60" s="15">
        <v>5.5500000000000001E-2</v>
      </c>
      <c r="T60" s="15">
        <v>7.0499999999999993E-2</v>
      </c>
      <c r="U60" s="18">
        <v>44.9</v>
      </c>
    </row>
    <row r="61" spans="1:21" x14ac:dyDescent="0.3">
      <c r="A61">
        <v>2018</v>
      </c>
      <c r="B61" s="10" t="s">
        <v>4</v>
      </c>
      <c r="C61" s="11">
        <v>2865</v>
      </c>
      <c r="D61" s="2">
        <v>5490178</v>
      </c>
      <c r="E61" s="2">
        <v>183180011.95602706</v>
      </c>
      <c r="F61" s="2">
        <v>119395633</v>
      </c>
      <c r="G61" s="5">
        <v>102.425805100849</v>
      </c>
      <c r="H61" s="7">
        <f t="shared" si="0"/>
        <v>0.19148170773427406</v>
      </c>
      <c r="I61" s="15">
        <v>4.8300000000000003E-2</v>
      </c>
      <c r="J61" s="15">
        <v>0.2298</v>
      </c>
      <c r="K61" s="16">
        <v>19.64</v>
      </c>
      <c r="L61" s="17">
        <v>0.40954674642781308</v>
      </c>
      <c r="M61" s="18">
        <v>100</v>
      </c>
      <c r="N61" s="17">
        <v>0.71261053070758429</v>
      </c>
      <c r="O61" s="18">
        <v>106.860677528</v>
      </c>
      <c r="P61" s="17">
        <v>0.36408597454183478</v>
      </c>
      <c r="Q61" s="18">
        <v>43987.94</v>
      </c>
      <c r="R61" s="17">
        <v>7.6032509983549268E-2</v>
      </c>
      <c r="S61" s="15">
        <v>5.5500000000000001E-2</v>
      </c>
      <c r="T61" s="15">
        <v>7.0499999999999993E-2</v>
      </c>
      <c r="U61" s="18">
        <v>44.9</v>
      </c>
    </row>
    <row r="62" spans="1:21" x14ac:dyDescent="0.3">
      <c r="A62">
        <v>2018</v>
      </c>
      <c r="B62" s="10" t="s">
        <v>5</v>
      </c>
      <c r="C62" s="11">
        <v>19091</v>
      </c>
      <c r="D62" s="2">
        <v>28048932</v>
      </c>
      <c r="E62" s="2">
        <v>327813074</v>
      </c>
      <c r="F62" s="2">
        <v>215447343.00000003</v>
      </c>
      <c r="G62" s="5">
        <v>99.094607932511806</v>
      </c>
      <c r="H62" s="7">
        <f t="shared" si="0"/>
        <v>0.34387589018553488</v>
      </c>
      <c r="I62" s="15">
        <v>4.8300000000000003E-2</v>
      </c>
      <c r="J62" s="15">
        <v>0.2298</v>
      </c>
      <c r="K62" s="16">
        <v>19.64</v>
      </c>
      <c r="L62" s="17">
        <v>0.40954674642781308</v>
      </c>
      <c r="M62" s="18">
        <v>100</v>
      </c>
      <c r="N62" s="17">
        <v>0.36574690600963544</v>
      </c>
      <c r="O62" s="18">
        <v>103.02</v>
      </c>
      <c r="P62" s="17">
        <v>0.2297950138106688</v>
      </c>
      <c r="Q62" s="18">
        <v>43987.94</v>
      </c>
      <c r="R62" s="17">
        <v>7.6032509983549268E-2</v>
      </c>
      <c r="S62" s="15">
        <v>5.5500000000000001E-2</v>
      </c>
      <c r="T62" s="15">
        <v>7.0499999999999993E-2</v>
      </c>
      <c r="U62" s="18">
        <v>44.9</v>
      </c>
    </row>
    <row r="63" spans="1:21" x14ac:dyDescent="0.3">
      <c r="A63">
        <v>2018</v>
      </c>
      <c r="B63" s="10" t="s">
        <v>6</v>
      </c>
      <c r="C63" s="11">
        <v>575291</v>
      </c>
      <c r="D63" s="2">
        <v>179683530</v>
      </c>
      <c r="E63" s="2">
        <v>2354328525.0000005</v>
      </c>
      <c r="F63" s="2">
        <v>1571601725.9999998</v>
      </c>
      <c r="G63" s="5">
        <v>99.595894510267399</v>
      </c>
      <c r="H63" s="7">
        <f t="shared" si="0"/>
        <v>0.2932117633538377</v>
      </c>
      <c r="I63" s="15">
        <v>4.8300000000000003E-2</v>
      </c>
      <c r="J63" s="15">
        <v>0.2298</v>
      </c>
      <c r="K63" s="16">
        <v>19.64</v>
      </c>
      <c r="L63" s="17">
        <v>0.40954674642781308</v>
      </c>
      <c r="M63" s="18">
        <v>100.00000002048699</v>
      </c>
      <c r="N63" s="17">
        <v>0.409696438933836</v>
      </c>
      <c r="O63" s="18">
        <v>103.02</v>
      </c>
      <c r="P63" s="17">
        <v>0.2297950138106688</v>
      </c>
      <c r="Q63" s="18">
        <v>43987.94</v>
      </c>
      <c r="R63" s="17">
        <v>7.6032509983549268E-2</v>
      </c>
      <c r="S63" s="15">
        <v>5.5500000000000001E-2</v>
      </c>
      <c r="T63" s="15">
        <v>7.0499999999999993E-2</v>
      </c>
      <c r="U63" s="18">
        <v>44.9</v>
      </c>
    </row>
    <row r="64" spans="1:21" x14ac:dyDescent="0.3">
      <c r="A64">
        <v>2018</v>
      </c>
      <c r="B64" s="10" t="s">
        <v>7</v>
      </c>
      <c r="C64" s="11">
        <v>154955</v>
      </c>
      <c r="D64" s="2">
        <v>104129056</v>
      </c>
      <c r="E64" s="2">
        <v>1073598592.9999999</v>
      </c>
      <c r="F64" s="2">
        <v>328226574</v>
      </c>
      <c r="G64" s="5">
        <v>103.02</v>
      </c>
      <c r="H64" s="7">
        <f t="shared" si="0"/>
        <v>0.20684750359998977</v>
      </c>
      <c r="I64" s="15">
        <v>4.8300000000000003E-2</v>
      </c>
      <c r="J64" s="15">
        <v>0.2298</v>
      </c>
      <c r="K64" s="16">
        <v>19.64</v>
      </c>
      <c r="L64" s="17">
        <v>0.40954674642781308</v>
      </c>
      <c r="M64" s="18">
        <v>100</v>
      </c>
      <c r="N64" s="17">
        <v>0.3158440282433852</v>
      </c>
      <c r="O64" s="18">
        <v>101.60289070419999</v>
      </c>
      <c r="P64" s="17">
        <v>0.22167735928238153</v>
      </c>
      <c r="Q64" s="18">
        <v>43987.94</v>
      </c>
      <c r="R64" s="17">
        <v>7.6032509983549268E-2</v>
      </c>
      <c r="S64" s="15">
        <v>5.5500000000000001E-2</v>
      </c>
      <c r="T64" s="15">
        <v>7.0499999999999993E-2</v>
      </c>
      <c r="U64" s="18">
        <v>44.9</v>
      </c>
    </row>
    <row r="65" spans="1:21" x14ac:dyDescent="0.3">
      <c r="A65">
        <v>2018</v>
      </c>
      <c r="B65" s="10" t="s">
        <v>8</v>
      </c>
      <c r="C65" s="11">
        <v>2092274</v>
      </c>
      <c r="D65" s="2">
        <v>158540094</v>
      </c>
      <c r="E65" s="2">
        <v>1726861179.0000002</v>
      </c>
      <c r="F65" s="2">
        <v>488383874.00000006</v>
      </c>
      <c r="G65" s="5">
        <v>103.02</v>
      </c>
      <c r="H65" s="7">
        <f t="shared" si="0"/>
        <v>0.20684750359998977</v>
      </c>
      <c r="I65" s="15">
        <v>4.8300000000000003E-2</v>
      </c>
      <c r="J65" s="15">
        <v>0.2298</v>
      </c>
      <c r="K65" s="16">
        <v>19.64</v>
      </c>
      <c r="L65" s="17">
        <v>0.40954674642781308</v>
      </c>
      <c r="M65" s="18">
        <v>100</v>
      </c>
      <c r="N65" s="17">
        <v>0.34018114468002314</v>
      </c>
      <c r="O65" s="18">
        <v>101.60289070419999</v>
      </c>
      <c r="P65" s="17">
        <v>0.22167735928238153</v>
      </c>
      <c r="Q65" s="18">
        <v>43987.94</v>
      </c>
      <c r="R65" s="17">
        <v>7.6032509983549268E-2</v>
      </c>
      <c r="S65" s="15">
        <v>5.5500000000000001E-2</v>
      </c>
      <c r="T65" s="15">
        <v>7.0499999999999993E-2</v>
      </c>
      <c r="U65" s="18">
        <v>44.9</v>
      </c>
    </row>
    <row r="66" spans="1:21" x14ac:dyDescent="0.3">
      <c r="A66">
        <v>2018</v>
      </c>
      <c r="B66" s="10" t="s">
        <v>20</v>
      </c>
      <c r="C66" s="11">
        <v>21580</v>
      </c>
      <c r="D66" s="2">
        <v>45063930</v>
      </c>
      <c r="E66" s="2">
        <v>374346474</v>
      </c>
      <c r="F66" s="2">
        <v>193853593.00000003</v>
      </c>
      <c r="G66" s="5">
        <v>98.9413977197826</v>
      </c>
      <c r="H66" s="7">
        <f t="shared" si="0"/>
        <v>0.21526816214431133</v>
      </c>
      <c r="I66" s="15">
        <v>4.8300000000000003E-2</v>
      </c>
      <c r="J66" s="15">
        <v>0.2298</v>
      </c>
      <c r="K66" s="16">
        <v>19.64</v>
      </c>
      <c r="L66" s="17">
        <v>0.40954674642781308</v>
      </c>
      <c r="M66" s="18">
        <v>100</v>
      </c>
      <c r="N66" s="17">
        <v>0.21457538735763881</v>
      </c>
      <c r="O66" s="18">
        <v>109.4304118429</v>
      </c>
      <c r="P66" s="17">
        <v>0.43298490490196762</v>
      </c>
      <c r="Q66" s="18">
        <v>43987.94</v>
      </c>
      <c r="R66" s="17">
        <v>7.6032509983549268E-2</v>
      </c>
      <c r="S66" s="15">
        <v>5.5500000000000001E-2</v>
      </c>
      <c r="T66" s="15">
        <v>7.0499999999999993E-2</v>
      </c>
      <c r="U66" s="18">
        <v>44.9</v>
      </c>
    </row>
    <row r="67" spans="1:21" x14ac:dyDescent="0.3">
      <c r="A67">
        <v>2018</v>
      </c>
      <c r="B67" s="10" t="s">
        <v>9</v>
      </c>
      <c r="C67" s="11">
        <v>8702</v>
      </c>
      <c r="D67" s="2">
        <v>11980914.999999998</v>
      </c>
      <c r="E67" s="2">
        <v>112652969</v>
      </c>
      <c r="F67" s="2">
        <v>58031105</v>
      </c>
      <c r="G67" s="5">
        <v>98.766854889025694</v>
      </c>
      <c r="H67" s="7">
        <f t="shared" si="0"/>
        <v>-0.14935548792566536</v>
      </c>
      <c r="I67" s="15">
        <v>4.8300000000000003E-2</v>
      </c>
      <c r="J67" s="15">
        <v>0.2298</v>
      </c>
      <c r="K67" s="16">
        <v>19.64</v>
      </c>
      <c r="L67" s="17">
        <v>0.40954674642781308</v>
      </c>
      <c r="M67" s="18">
        <v>100</v>
      </c>
      <c r="N67" s="17">
        <v>-0.33596022647517099</v>
      </c>
      <c r="O67" s="18">
        <v>101.5604323094</v>
      </c>
      <c r="P67" s="17">
        <v>0.16206035147042019</v>
      </c>
      <c r="Q67" s="18">
        <v>43987.94</v>
      </c>
      <c r="R67" s="17">
        <v>7.6032509983549268E-2</v>
      </c>
      <c r="S67" s="15">
        <v>5.5500000000000001E-2</v>
      </c>
      <c r="T67" s="15">
        <v>7.0499999999999993E-2</v>
      </c>
      <c r="U67" s="18">
        <v>44.9</v>
      </c>
    </row>
    <row r="68" spans="1:21" x14ac:dyDescent="0.3">
      <c r="A68">
        <v>2018</v>
      </c>
      <c r="B68" s="10" t="s">
        <v>10</v>
      </c>
      <c r="C68" s="11">
        <v>26420</v>
      </c>
      <c r="D68" s="2">
        <v>21599411.000000004</v>
      </c>
      <c r="E68" s="2">
        <v>272837946</v>
      </c>
      <c r="F68" s="2">
        <v>154415050.99999997</v>
      </c>
      <c r="G68" s="5">
        <v>97.689826062465301</v>
      </c>
      <c r="H68" s="7">
        <f t="shared" si="0"/>
        <v>0.15262688945494329</v>
      </c>
      <c r="I68" s="15">
        <v>4.8300000000000003E-2</v>
      </c>
      <c r="J68" s="15">
        <v>0.2298</v>
      </c>
      <c r="K68" s="16">
        <v>19.64</v>
      </c>
      <c r="L68" s="17">
        <v>0.40954674642781308</v>
      </c>
      <c r="M68" s="18">
        <v>100.000000112783</v>
      </c>
      <c r="N68" s="17">
        <v>0.10875136211560421</v>
      </c>
      <c r="O68" s="18">
        <v>101.5604323094</v>
      </c>
      <c r="P68" s="17">
        <v>0.16206035147042019</v>
      </c>
      <c r="Q68" s="18">
        <v>43987.94</v>
      </c>
      <c r="R68" s="17">
        <v>7.6032509983549268E-2</v>
      </c>
      <c r="S68" s="15">
        <v>5.5500000000000001E-2</v>
      </c>
      <c r="T68" s="15">
        <v>7.0499999999999993E-2</v>
      </c>
      <c r="U68" s="18">
        <v>44.9</v>
      </c>
    </row>
    <row r="69" spans="1:21" x14ac:dyDescent="0.3">
      <c r="A69">
        <v>2018</v>
      </c>
      <c r="B69" s="10" t="s">
        <v>11</v>
      </c>
      <c r="C69" s="11">
        <v>67938</v>
      </c>
      <c r="D69" s="2">
        <v>11996056.999999996</v>
      </c>
      <c r="E69" s="2">
        <v>191542267.99999997</v>
      </c>
      <c r="F69" s="2">
        <v>87923238.000000015</v>
      </c>
      <c r="G69" s="5">
        <v>98.414201583290506</v>
      </c>
      <c r="H69" s="7">
        <f t="shared" si="0"/>
        <v>0.11608979761665343</v>
      </c>
      <c r="I69" s="15">
        <v>4.8300000000000003E-2</v>
      </c>
      <c r="J69" s="15">
        <v>0.2298</v>
      </c>
      <c r="K69" s="16">
        <v>19.64</v>
      </c>
      <c r="L69" s="17">
        <v>0.40954674642781308</v>
      </c>
      <c r="M69" s="18">
        <v>100</v>
      </c>
      <c r="N69" s="17">
        <v>0.11483140881938936</v>
      </c>
      <c r="O69" s="18">
        <v>100.9160828925</v>
      </c>
      <c r="P69" s="17">
        <v>0.12412647169993329</v>
      </c>
      <c r="Q69" s="18">
        <v>43987.94</v>
      </c>
      <c r="R69" s="17">
        <v>7.6032509983549268E-2</v>
      </c>
      <c r="S69" s="15">
        <v>5.5500000000000001E-2</v>
      </c>
      <c r="T69" s="15">
        <v>7.0499999999999993E-2</v>
      </c>
      <c r="U69" s="18">
        <v>44.9</v>
      </c>
    </row>
    <row r="70" spans="1:21" x14ac:dyDescent="0.3">
      <c r="A70">
        <v>2018</v>
      </c>
      <c r="B70" s="10" t="s">
        <v>12</v>
      </c>
      <c r="C70" s="11">
        <v>99571</v>
      </c>
      <c r="D70" s="2">
        <v>42795111.999999993</v>
      </c>
      <c r="E70" s="2">
        <v>239673349.99999997</v>
      </c>
      <c r="F70" s="2">
        <v>98812582</v>
      </c>
      <c r="G70" s="5">
        <v>97.836772697011199</v>
      </c>
      <c r="H70" s="7">
        <f t="shared" si="0"/>
        <v>0.1735013773094701</v>
      </c>
      <c r="I70" s="15">
        <v>4.8300000000000003E-2</v>
      </c>
      <c r="J70" s="15">
        <v>0.2298</v>
      </c>
      <c r="K70" s="16">
        <v>19.64</v>
      </c>
      <c r="L70" s="17">
        <v>0.40954674642781308</v>
      </c>
      <c r="M70" s="18">
        <v>100</v>
      </c>
      <c r="N70" s="17">
        <v>0.22431476268198902</v>
      </c>
      <c r="O70" s="18">
        <v>101.5604323094</v>
      </c>
      <c r="P70" s="17">
        <v>0.16206035147042019</v>
      </c>
      <c r="Q70" s="18">
        <v>43987.94</v>
      </c>
      <c r="R70" s="17">
        <v>7.6032509983549268E-2</v>
      </c>
      <c r="S70" s="15">
        <v>5.5500000000000001E-2</v>
      </c>
      <c r="T70" s="15">
        <v>7.0499999999999993E-2</v>
      </c>
      <c r="U70" s="18">
        <v>44.9</v>
      </c>
    </row>
    <row r="71" spans="1:21" x14ac:dyDescent="0.3">
      <c r="A71">
        <v>2018</v>
      </c>
      <c r="B71" s="10" t="s">
        <v>13</v>
      </c>
      <c r="C71" s="11">
        <v>340</v>
      </c>
      <c r="D71" s="2">
        <v>1534124</v>
      </c>
      <c r="E71" s="2">
        <v>264622337</v>
      </c>
      <c r="F71" s="2">
        <v>68399924</v>
      </c>
      <c r="G71" s="5">
        <v>97.689826062465301</v>
      </c>
      <c r="H71" s="7">
        <f t="shared" si="0"/>
        <v>0.15262688945494329</v>
      </c>
      <c r="I71" s="15">
        <v>4.8300000000000003E-2</v>
      </c>
      <c r="J71" s="15">
        <v>0.2298</v>
      </c>
      <c r="K71" s="16">
        <v>19.64</v>
      </c>
      <c r="L71" s="17">
        <v>0.40954674642781308</v>
      </c>
      <c r="M71" s="18">
        <v>100</v>
      </c>
      <c r="N71" s="17">
        <v>0.25659011296071399</v>
      </c>
      <c r="O71" s="18">
        <v>101.5604323094</v>
      </c>
      <c r="P71" s="17">
        <v>0.16206035147042019</v>
      </c>
      <c r="Q71" s="18">
        <v>43987.94</v>
      </c>
      <c r="R71" s="17">
        <v>7.6032509983549268E-2</v>
      </c>
      <c r="S71" s="15">
        <v>5.5500000000000001E-2</v>
      </c>
      <c r="T71" s="15">
        <v>7.0499999999999993E-2</v>
      </c>
      <c r="U71" s="18">
        <v>44.9</v>
      </c>
    </row>
    <row r="72" spans="1:21" x14ac:dyDescent="0.3">
      <c r="A72">
        <v>2018</v>
      </c>
      <c r="B72" s="10" t="s">
        <v>14</v>
      </c>
      <c r="C72" s="11">
        <v>74316</v>
      </c>
      <c r="D72" s="2">
        <v>49792347</v>
      </c>
      <c r="E72" s="2">
        <v>319515865</v>
      </c>
      <c r="F72" s="2">
        <v>133519619</v>
      </c>
      <c r="G72" s="5">
        <v>99.2095637962626</v>
      </c>
      <c r="H72" s="7">
        <f t="shared" si="0"/>
        <v>0.18734728394861491</v>
      </c>
      <c r="I72" s="15">
        <v>4.8300000000000003E-2</v>
      </c>
      <c r="J72" s="15">
        <v>0.2298</v>
      </c>
      <c r="K72" s="16">
        <v>19.64</v>
      </c>
      <c r="L72" s="17">
        <v>0.40954674642781308</v>
      </c>
      <c r="M72" s="18">
        <v>100</v>
      </c>
      <c r="N72" s="17">
        <v>0.18890659231110218</v>
      </c>
      <c r="O72" s="18">
        <v>101.5604323094</v>
      </c>
      <c r="P72" s="17">
        <v>0.16206035147042019</v>
      </c>
      <c r="Q72" s="18">
        <v>43987.94</v>
      </c>
      <c r="R72" s="17">
        <v>7.6032509983549268E-2</v>
      </c>
      <c r="S72" s="15">
        <v>5.5500000000000001E-2</v>
      </c>
      <c r="T72" s="15">
        <v>7.0499999999999993E-2</v>
      </c>
      <c r="U72" s="18">
        <v>44.9</v>
      </c>
    </row>
    <row r="73" spans="1:21" x14ac:dyDescent="0.3">
      <c r="A73">
        <v>2018</v>
      </c>
      <c r="B73" s="10" t="s">
        <v>15</v>
      </c>
      <c r="C73" s="11">
        <v>53266</v>
      </c>
      <c r="D73" s="2">
        <v>52487500.000000007</v>
      </c>
      <c r="E73" s="2">
        <v>143183676</v>
      </c>
      <c r="F73" s="2">
        <v>48213716</v>
      </c>
      <c r="G73" s="5">
        <v>98.914473974092303</v>
      </c>
      <c r="H73" s="7">
        <f t="shared" si="0"/>
        <v>0.22356636216878606</v>
      </c>
      <c r="I73" s="15">
        <v>4.8300000000000003E-2</v>
      </c>
      <c r="J73" s="15">
        <v>0.2298</v>
      </c>
      <c r="K73" s="16">
        <v>19.64</v>
      </c>
      <c r="L73" s="17">
        <v>0.40954674642781308</v>
      </c>
      <c r="M73" s="18">
        <v>100</v>
      </c>
      <c r="N73" s="17">
        <v>0.25945217272460019</v>
      </c>
      <c r="O73" s="18">
        <v>103.5100336772</v>
      </c>
      <c r="P73" s="17">
        <v>0.24340629037281114</v>
      </c>
      <c r="Q73" s="18">
        <v>43987.94</v>
      </c>
      <c r="R73" s="17">
        <v>7.6032509983549268E-2</v>
      </c>
      <c r="S73" s="15">
        <v>5.5500000000000001E-2</v>
      </c>
      <c r="T73" s="15">
        <v>7.0499999999999993E-2</v>
      </c>
      <c r="U73" s="18">
        <v>44.9</v>
      </c>
    </row>
    <row r="74" spans="1:21" x14ac:dyDescent="0.3">
      <c r="A74">
        <v>2018</v>
      </c>
      <c r="B74" s="10" t="s">
        <v>16</v>
      </c>
      <c r="C74" s="11">
        <v>195951</v>
      </c>
      <c r="D74" s="2">
        <v>25534083.000000004</v>
      </c>
      <c r="E74" s="2">
        <v>129177074.00000001</v>
      </c>
      <c r="F74" s="2">
        <v>64763170</v>
      </c>
      <c r="G74" s="5">
        <v>96.885544603975603</v>
      </c>
      <c r="H74" s="7">
        <f t="shared" si="0"/>
        <v>0.20284994276245605</v>
      </c>
      <c r="I74" s="15">
        <v>4.8300000000000003E-2</v>
      </c>
      <c r="J74" s="15">
        <v>0.2298</v>
      </c>
      <c r="K74" s="16">
        <v>19.64</v>
      </c>
      <c r="L74" s="17">
        <v>0.40954674642781308</v>
      </c>
      <c r="M74" s="18">
        <v>100</v>
      </c>
      <c r="N74" s="17">
        <v>0.33698289583740459</v>
      </c>
      <c r="O74" s="18">
        <v>101.5604323094</v>
      </c>
      <c r="P74" s="17">
        <v>0.16206035147042019</v>
      </c>
      <c r="Q74" s="18">
        <v>43987.94</v>
      </c>
      <c r="R74" s="17">
        <v>7.6032509983549268E-2</v>
      </c>
      <c r="S74" s="15">
        <v>5.5500000000000001E-2</v>
      </c>
      <c r="T74" s="15">
        <v>7.0499999999999993E-2</v>
      </c>
      <c r="U74" s="18">
        <v>44.9</v>
      </c>
    </row>
    <row r="75" spans="1:21" x14ac:dyDescent="0.3">
      <c r="A75">
        <v>2018</v>
      </c>
      <c r="B75" s="10" t="s">
        <v>17</v>
      </c>
      <c r="C75" s="11">
        <v>51268</v>
      </c>
      <c r="D75" s="2">
        <v>10068982</v>
      </c>
      <c r="E75" s="2">
        <v>76763380</v>
      </c>
      <c r="F75" s="2">
        <v>44454842.999999993</v>
      </c>
      <c r="G75" s="5">
        <v>95.919050567810103</v>
      </c>
      <c r="H75" s="7">
        <f t="shared" si="0"/>
        <v>0.20514504418729596</v>
      </c>
      <c r="I75" s="15">
        <v>4.8300000000000003E-2</v>
      </c>
      <c r="J75" s="15">
        <v>0.2298</v>
      </c>
      <c r="K75" s="16">
        <v>19.64</v>
      </c>
      <c r="L75" s="17">
        <v>0.40954674642781308</v>
      </c>
      <c r="M75" s="18">
        <v>100</v>
      </c>
      <c r="N75" s="17">
        <v>0.17889714117060174</v>
      </c>
      <c r="O75" s="18">
        <v>101.5604323094</v>
      </c>
      <c r="P75" s="17">
        <v>0.16206035147042019</v>
      </c>
      <c r="Q75" s="18">
        <v>43987.94</v>
      </c>
      <c r="R75" s="17">
        <v>7.6032509983549268E-2</v>
      </c>
      <c r="S75" s="15">
        <v>5.5500000000000001E-2</v>
      </c>
      <c r="T75" s="15">
        <v>7.0499999999999993E-2</v>
      </c>
      <c r="U75" s="18">
        <v>44.9</v>
      </c>
    </row>
    <row r="76" spans="1:21" x14ac:dyDescent="0.3">
      <c r="A76">
        <v>2018</v>
      </c>
      <c r="B76" s="10" t="s">
        <v>18</v>
      </c>
      <c r="C76" s="11">
        <v>636692</v>
      </c>
      <c r="D76" s="2">
        <v>68360101</v>
      </c>
      <c r="E76" s="2">
        <v>578164465.99999988</v>
      </c>
      <c r="F76" s="2">
        <v>334636179</v>
      </c>
      <c r="G76" s="5">
        <v>98.619595406146402</v>
      </c>
      <c r="H76" s="7">
        <f t="shared" si="0"/>
        <v>0.23630036166550425</v>
      </c>
      <c r="I76" s="15">
        <v>4.8300000000000003E-2</v>
      </c>
      <c r="J76" s="15">
        <v>0.2298</v>
      </c>
      <c r="K76" s="16">
        <v>19.64</v>
      </c>
      <c r="L76" s="17">
        <v>0.40954674642781308</v>
      </c>
      <c r="M76" s="18">
        <v>100</v>
      </c>
      <c r="N76" s="17">
        <v>0.28097775174021855</v>
      </c>
      <c r="O76" s="18">
        <v>101.8542021671</v>
      </c>
      <c r="P76" s="17">
        <v>0.26299416381531282</v>
      </c>
      <c r="Q76" s="18">
        <v>43987.94</v>
      </c>
      <c r="R76" s="17">
        <v>7.6032509983549268E-2</v>
      </c>
      <c r="S76" s="15">
        <v>5.5500000000000001E-2</v>
      </c>
      <c r="T76" s="15">
        <v>7.0499999999999993E-2</v>
      </c>
      <c r="U76" s="18">
        <v>44.9</v>
      </c>
    </row>
    <row r="77" spans="1:21" s="1" customFormat="1" x14ac:dyDescent="0.3">
      <c r="A77" s="1">
        <v>2018</v>
      </c>
      <c r="B77" s="12" t="s">
        <v>19</v>
      </c>
      <c r="C77" s="13">
        <v>681695</v>
      </c>
      <c r="D77" s="3">
        <v>42105115.999999993</v>
      </c>
      <c r="E77" s="3">
        <v>267936425</v>
      </c>
      <c r="F77" s="3">
        <v>135088796</v>
      </c>
      <c r="G77" s="6">
        <v>97.689826062465301</v>
      </c>
      <c r="H77" s="7">
        <f t="shared" si="0"/>
        <v>0.15262688945494329</v>
      </c>
      <c r="I77" s="15">
        <v>4.8300000000000003E-2</v>
      </c>
      <c r="J77" s="15">
        <v>0.2298</v>
      </c>
      <c r="K77" s="16">
        <v>19.64</v>
      </c>
      <c r="L77" s="17">
        <v>0.40954674642781308</v>
      </c>
      <c r="M77" s="18">
        <v>100</v>
      </c>
      <c r="N77" s="17">
        <v>0.19835716010072835</v>
      </c>
      <c r="O77" s="19">
        <v>101.7323084022</v>
      </c>
      <c r="P77" s="17">
        <v>0.17955979616537898</v>
      </c>
      <c r="Q77" s="18">
        <v>43987.94</v>
      </c>
      <c r="R77" s="17">
        <v>7.6032509983549268E-2</v>
      </c>
      <c r="S77" s="15">
        <v>5.5500000000000001E-2</v>
      </c>
      <c r="T77" s="15">
        <v>7.0499999999999993E-2</v>
      </c>
      <c r="U77" s="18">
        <v>44.9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Orona Corral</dc:creator>
  <cp:lastModifiedBy>Ricardo C. Morales Pelagio</cp:lastModifiedBy>
  <dcterms:created xsi:type="dcterms:W3CDTF">2024-11-15T02:38:21Z</dcterms:created>
  <dcterms:modified xsi:type="dcterms:W3CDTF">2024-11-22T15:46:02Z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{35CF2882-7495-4DFB-A2EC-0973BED01DB4}</vt:lpwstr>
  </property>
</Properties>
</file>